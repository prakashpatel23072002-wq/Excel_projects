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ames\Downloads\"/>
    </mc:Choice>
  </mc:AlternateContent>
  <xr:revisionPtr revIDLastSave="0" documentId="13_ncr:1_{3EC48A88-5F09-4775-8B28-960106465014}" xr6:coauthVersionLast="47" xr6:coauthVersionMax="47" xr10:uidLastSave="{00000000-0000-0000-0000-000000000000}"/>
  <bookViews>
    <workbookView xWindow="-120" yWindow="-120" windowWidth="20730" windowHeight="11040" xr2:uid="{346724B3-1C49-40AE-AA36-C77CF5D6DD09}"/>
  </bookViews>
  <sheets>
    <sheet name="Data" sheetId="1" r:id="rId1"/>
    <sheet name="Questions &amp; KPIs" sheetId="2" r:id="rId2"/>
    <sheet name="Sheet1" sheetId="5" r:id="rId3"/>
    <sheet name="sheet2" sheetId="9" r:id="rId4"/>
    <sheet name="sheet3" sheetId="10" r:id="rId5"/>
    <sheet name="Sheet4" sheetId="8" r:id="rId6"/>
    <sheet name="dashboards" sheetId="7" r:id="rId7"/>
  </sheets>
  <definedNames>
    <definedName name="_xlnm._FilterDatabase" localSheetId="0" hidden="1">Data!$S$1:$S$2401</definedName>
    <definedName name="_xlchart.v5.0" hidden="1">sheet2!$F$3:$G$3</definedName>
    <definedName name="_xlchart.v5.1" hidden="1">sheet2!$F$4:$G$61</definedName>
    <definedName name="_xlchart.v5.2" hidden="1">sheet2!$H$3</definedName>
    <definedName name="_xlchart.v5.3" hidden="1">sheet2!$H$4:$H$61</definedName>
    <definedName name="_xlchart.v5.4" hidden="1">sheet2!$J$3:$K$3</definedName>
    <definedName name="_xlchart.v5.5" hidden="1">sheet2!$J$4:$K$61</definedName>
    <definedName name="_xlchart.v5.6" hidden="1">sheet2!$L$3</definedName>
    <definedName name="_xlchart.v5.7" hidden="1">sheet2!$L$4:$L$61</definedName>
    <definedName name="Slicer_Gender_Value">#N/A</definedName>
    <definedName name="Slicer_Order_Mode">#N/A</definedName>
  </definedNames>
  <calcPr calcId="191029"/>
  <pivotCaches>
    <pivotCache cacheId="1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9" l="1"/>
  <c r="G4" i="9"/>
  <c r="H4" i="9"/>
  <c r="F5" i="9"/>
  <c r="G5" i="9"/>
  <c r="H5" i="9"/>
  <c r="F6" i="9"/>
  <c r="G6" i="9"/>
  <c r="H6" i="9"/>
  <c r="F7" i="9"/>
  <c r="G7" i="9"/>
  <c r="H7" i="9"/>
  <c r="F8" i="9"/>
  <c r="G8" i="9"/>
  <c r="H8" i="9"/>
  <c r="F9" i="9"/>
  <c r="G9" i="9"/>
  <c r="H9" i="9"/>
  <c r="F10" i="9"/>
  <c r="G10" i="9"/>
  <c r="H10" i="9"/>
  <c r="F11" i="9"/>
  <c r="G11" i="9"/>
  <c r="H11" i="9"/>
  <c r="F12" i="9"/>
  <c r="G12" i="9"/>
  <c r="H12" i="9"/>
  <c r="F13" i="9"/>
  <c r="G13" i="9"/>
  <c r="H13" i="9"/>
  <c r="F14" i="9"/>
  <c r="G14" i="9"/>
  <c r="H14" i="9"/>
  <c r="F15" i="9"/>
  <c r="G15" i="9"/>
  <c r="H15" i="9"/>
  <c r="F16" i="9"/>
  <c r="G16" i="9"/>
  <c r="H16" i="9"/>
  <c r="F17" i="9"/>
  <c r="G17" i="9"/>
  <c r="H17" i="9"/>
  <c r="F18" i="9"/>
  <c r="G18" i="9"/>
  <c r="H18" i="9"/>
  <c r="F19" i="9"/>
  <c r="G19" i="9"/>
  <c r="H19" i="9"/>
  <c r="F20" i="9"/>
  <c r="G20" i="9"/>
  <c r="H20" i="9"/>
  <c r="F21" i="9"/>
  <c r="G21" i="9"/>
  <c r="H21" i="9"/>
  <c r="F22" i="9"/>
  <c r="G22" i="9"/>
  <c r="H22" i="9"/>
  <c r="F23" i="9"/>
  <c r="G23" i="9"/>
  <c r="H23" i="9"/>
  <c r="F24" i="9"/>
  <c r="G24" i="9"/>
  <c r="H24" i="9"/>
  <c r="F25" i="9"/>
  <c r="G25" i="9"/>
  <c r="H25" i="9"/>
  <c r="F26" i="9"/>
  <c r="G26" i="9"/>
  <c r="H26" i="9"/>
  <c r="F27" i="9"/>
  <c r="G27" i="9"/>
  <c r="H27" i="9"/>
  <c r="F28" i="9"/>
  <c r="G28" i="9"/>
  <c r="H28" i="9"/>
  <c r="F29" i="9"/>
  <c r="G29" i="9"/>
  <c r="H29" i="9"/>
  <c r="F30" i="9"/>
  <c r="G30" i="9"/>
  <c r="H30" i="9"/>
  <c r="F31" i="9"/>
  <c r="G31" i="9"/>
  <c r="H31" i="9"/>
  <c r="F32" i="9"/>
  <c r="G32" i="9"/>
  <c r="H32" i="9"/>
  <c r="F33" i="9"/>
  <c r="G33" i="9"/>
  <c r="H33" i="9"/>
  <c r="F34" i="9"/>
  <c r="G34" i="9"/>
  <c r="H34" i="9"/>
  <c r="F35" i="9"/>
  <c r="G35" i="9"/>
  <c r="H35" i="9"/>
  <c r="F36" i="9"/>
  <c r="G36" i="9"/>
  <c r="H36" i="9"/>
  <c r="F37" i="9"/>
  <c r="G37" i="9"/>
  <c r="H37" i="9"/>
  <c r="F38" i="9"/>
  <c r="G38" i="9"/>
  <c r="H38" i="9"/>
  <c r="F39" i="9"/>
  <c r="G39" i="9"/>
  <c r="H39" i="9"/>
  <c r="F40" i="9"/>
  <c r="G40" i="9"/>
  <c r="H40" i="9"/>
  <c r="F41" i="9"/>
  <c r="G41" i="9"/>
  <c r="H41" i="9"/>
  <c r="F42" i="9"/>
  <c r="G42" i="9"/>
  <c r="H42" i="9"/>
  <c r="F43" i="9"/>
  <c r="G43" i="9"/>
  <c r="H43" i="9"/>
  <c r="F44" i="9"/>
  <c r="G44" i="9"/>
  <c r="H44" i="9"/>
  <c r="F45" i="9"/>
  <c r="G45" i="9"/>
  <c r="H45" i="9"/>
  <c r="F46" i="9"/>
  <c r="G46" i="9"/>
  <c r="H46" i="9"/>
  <c r="F47" i="9"/>
  <c r="G47" i="9"/>
  <c r="H47" i="9"/>
  <c r="F48" i="9"/>
  <c r="G48" i="9"/>
  <c r="H48" i="9"/>
  <c r="F49" i="9"/>
  <c r="G49" i="9"/>
  <c r="H49" i="9"/>
  <c r="F50" i="9"/>
  <c r="G50" i="9"/>
  <c r="H50" i="9"/>
  <c r="F51" i="9"/>
  <c r="G51" i="9"/>
  <c r="H51" i="9"/>
  <c r="F52" i="9"/>
  <c r="G52" i="9"/>
  <c r="H52" i="9"/>
  <c r="F53" i="9"/>
  <c r="G53" i="9"/>
  <c r="H53" i="9"/>
  <c r="F54" i="9"/>
  <c r="G54" i="9"/>
  <c r="H54" i="9"/>
  <c r="F55" i="9"/>
  <c r="G55" i="9"/>
  <c r="H55" i="9"/>
  <c r="F56" i="9"/>
  <c r="G56" i="9"/>
  <c r="H56" i="9"/>
  <c r="F57" i="9"/>
  <c r="G57" i="9"/>
  <c r="H57" i="9"/>
  <c r="F58" i="9"/>
  <c r="G58" i="9"/>
  <c r="H58" i="9"/>
  <c r="F59" i="9"/>
  <c r="G59" i="9"/>
  <c r="H59" i="9"/>
  <c r="F60" i="9"/>
  <c r="G60" i="9"/>
  <c r="H60" i="9"/>
  <c r="F61" i="9"/>
  <c r="G61" i="9"/>
  <c r="H61" i="9"/>
  <c r="J4" i="9"/>
  <c r="K4" i="9"/>
  <c r="J5" i="9"/>
  <c r="K5" i="9"/>
  <c r="J6" i="9"/>
  <c r="K6" i="9"/>
  <c r="J7" i="9"/>
  <c r="K7" i="9"/>
  <c r="J8" i="9"/>
  <c r="K8" i="9"/>
  <c r="J9" i="9"/>
  <c r="K9" i="9"/>
  <c r="J10" i="9"/>
  <c r="K10" i="9"/>
  <c r="J11" i="9"/>
  <c r="K11" i="9"/>
  <c r="J12" i="9"/>
  <c r="K12" i="9"/>
  <c r="J13" i="9"/>
  <c r="K13" i="9"/>
  <c r="J14" i="9"/>
  <c r="K14" i="9"/>
  <c r="J15" i="9"/>
  <c r="K15" i="9"/>
  <c r="J16" i="9"/>
  <c r="K16" i="9"/>
  <c r="J17" i="9"/>
  <c r="K17" i="9"/>
  <c r="J18" i="9"/>
  <c r="K18" i="9"/>
  <c r="J19" i="9"/>
  <c r="K19" i="9"/>
  <c r="J20" i="9"/>
  <c r="K20" i="9"/>
  <c r="J21" i="9"/>
  <c r="K21" i="9"/>
  <c r="J22" i="9"/>
  <c r="K22" i="9"/>
  <c r="J23" i="9"/>
  <c r="K23" i="9"/>
  <c r="J24" i="9"/>
  <c r="K24" i="9"/>
  <c r="J25" i="9"/>
  <c r="K25" i="9"/>
  <c r="J26" i="9"/>
  <c r="K26" i="9"/>
  <c r="J27" i="9"/>
  <c r="K27" i="9"/>
  <c r="J28" i="9"/>
  <c r="K28" i="9"/>
  <c r="J29" i="9"/>
  <c r="K29" i="9"/>
  <c r="J30" i="9"/>
  <c r="K30" i="9"/>
  <c r="J31" i="9"/>
  <c r="K31" i="9"/>
  <c r="J32" i="9"/>
  <c r="K32" i="9"/>
  <c r="J33" i="9"/>
  <c r="K33" i="9"/>
  <c r="J34" i="9"/>
  <c r="K34" i="9"/>
  <c r="J35" i="9"/>
  <c r="K35" i="9"/>
  <c r="J36" i="9"/>
  <c r="K36" i="9"/>
  <c r="J37" i="9"/>
  <c r="K37" i="9"/>
  <c r="J38" i="9"/>
  <c r="K38" i="9"/>
  <c r="J39" i="9"/>
  <c r="K39" i="9"/>
  <c r="J40" i="9"/>
  <c r="K40" i="9"/>
  <c r="J41" i="9"/>
  <c r="K41" i="9"/>
  <c r="J42" i="9"/>
  <c r="K42" i="9"/>
  <c r="J43" i="9"/>
  <c r="K43" i="9"/>
  <c r="J44" i="9"/>
  <c r="K44" i="9"/>
  <c r="J45" i="9"/>
  <c r="K45" i="9"/>
  <c r="J46" i="9"/>
  <c r="K46" i="9"/>
  <c r="J47" i="9"/>
  <c r="K47" i="9"/>
  <c r="J48" i="9"/>
  <c r="K48" i="9"/>
  <c r="J49" i="9"/>
  <c r="K49" i="9"/>
  <c r="J50" i="9"/>
  <c r="K50" i="9"/>
  <c r="J51" i="9"/>
  <c r="K51" i="9"/>
  <c r="J52" i="9"/>
  <c r="K52" i="9"/>
  <c r="J53" i="9"/>
  <c r="K53" i="9"/>
  <c r="J54" i="9"/>
  <c r="K54" i="9"/>
  <c r="J55" i="9"/>
  <c r="K55" i="9"/>
  <c r="J56" i="9"/>
  <c r="K56" i="9"/>
  <c r="J57" i="9"/>
  <c r="K57" i="9"/>
  <c r="J58" i="9"/>
  <c r="K58" i="9"/>
  <c r="J59" i="9"/>
  <c r="K59" i="9"/>
  <c r="J60" i="9"/>
  <c r="K60" i="9"/>
  <c r="J61" i="9"/>
  <c r="K61"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O3" i="1" a="1"/>
  <c r="O4" i="1" a="1"/>
  <c r="O5" i="1" a="1"/>
  <c r="O6" i="1" a="1"/>
  <c r="O7" i="1" a="1"/>
  <c r="O8" i="1" a="1"/>
  <c r="O9" i="1" a="1"/>
  <c r="O10" i="1" a="1"/>
  <c r="O11" i="1" a="1"/>
  <c r="O12" i="1" a="1"/>
  <c r="O13" i="1" a="1"/>
  <c r="O14" i="1" a="1"/>
  <c r="O15" i="1" a="1"/>
  <c r="O16" i="1" a="1"/>
  <c r="O17" i="1" a="1"/>
  <c r="O18" i="1" a="1"/>
  <c r="O19" i="1" a="1"/>
  <c r="O20" i="1" a="1"/>
  <c r="O21" i="1" a="1"/>
  <c r="O22" i="1" a="1"/>
  <c r="O23" i="1" a="1"/>
  <c r="O24" i="1" a="1"/>
  <c r="O25" i="1" a="1"/>
  <c r="O26" i="1" a="1"/>
  <c r="O27" i="1" a="1"/>
  <c r="O28" i="1" a="1"/>
  <c r="O29" i="1" a="1"/>
  <c r="O30" i="1" a="1"/>
  <c r="O31" i="1" a="1"/>
  <c r="O32" i="1" a="1"/>
  <c r="O33" i="1" a="1"/>
  <c r="O34" i="1" a="1"/>
  <c r="O35" i="1" a="1"/>
  <c r="O36" i="1" a="1"/>
  <c r="O37" i="1" a="1"/>
  <c r="O38" i="1" a="1"/>
  <c r="O39" i="1" a="1"/>
  <c r="O40" i="1" a="1"/>
  <c r="O41" i="1" a="1"/>
  <c r="O42" i="1" a="1"/>
  <c r="O43" i="1" a="1"/>
  <c r="O44" i="1" a="1"/>
  <c r="O45" i="1" a="1"/>
  <c r="O46" i="1" a="1"/>
  <c r="O47" i="1" a="1"/>
  <c r="O48" i="1" a="1"/>
  <c r="O49" i="1" a="1"/>
  <c r="O50" i="1" a="1"/>
  <c r="O51" i="1" a="1"/>
  <c r="O52" i="1" a="1"/>
  <c r="O53" i="1" a="1"/>
  <c r="O54" i="1" a="1"/>
  <c r="O55" i="1" a="1"/>
  <c r="O56" i="1" a="1"/>
  <c r="O57" i="1" a="1"/>
  <c r="O58" i="1" a="1"/>
  <c r="O59" i="1" a="1"/>
  <c r="O60" i="1" a="1"/>
  <c r="O61" i="1" a="1"/>
  <c r="O62" i="1" a="1"/>
  <c r="O63" i="1" a="1"/>
  <c r="O64" i="1" a="1"/>
  <c r="O65" i="1" a="1"/>
  <c r="O66" i="1" a="1"/>
  <c r="O67" i="1" a="1"/>
  <c r="O68" i="1" a="1"/>
  <c r="O69" i="1" a="1"/>
  <c r="O70" i="1" a="1"/>
  <c r="O71" i="1" a="1"/>
  <c r="O72" i="1" a="1"/>
  <c r="O73" i="1" a="1"/>
  <c r="O74" i="1" a="1"/>
  <c r="O75" i="1" a="1"/>
  <c r="O76" i="1" a="1"/>
  <c r="O77" i="1" a="1"/>
  <c r="O78" i="1" a="1"/>
  <c r="O79" i="1" a="1"/>
  <c r="O80" i="1" a="1"/>
  <c r="O81" i="1" a="1"/>
  <c r="O82" i="1" a="1"/>
  <c r="O83" i="1" a="1"/>
  <c r="O84" i="1" a="1"/>
  <c r="O85" i="1" a="1"/>
  <c r="O86" i="1" a="1"/>
  <c r="O87" i="1" a="1"/>
  <c r="O88" i="1" a="1"/>
  <c r="O89" i="1" a="1"/>
  <c r="O90" i="1" a="1"/>
  <c r="O91" i="1" a="1"/>
  <c r="O92" i="1" a="1"/>
  <c r="O93" i="1" a="1"/>
  <c r="O94" i="1" a="1"/>
  <c r="O95" i="1" a="1"/>
  <c r="O96" i="1" a="1"/>
  <c r="O97" i="1" a="1"/>
  <c r="O98" i="1" a="1"/>
  <c r="O99" i="1" a="1"/>
  <c r="O100" i="1" a="1"/>
  <c r="O101" i="1" a="1"/>
  <c r="O102" i="1" a="1"/>
  <c r="O103" i="1" a="1"/>
  <c r="O104" i="1" a="1"/>
  <c r="O105" i="1" a="1"/>
  <c r="O106" i="1" a="1"/>
  <c r="O107" i="1" a="1"/>
  <c r="O108" i="1" a="1"/>
  <c r="O109" i="1" a="1"/>
  <c r="O110" i="1" a="1"/>
  <c r="O111" i="1" a="1"/>
  <c r="O112" i="1" a="1"/>
  <c r="O113" i="1" a="1"/>
  <c r="O114" i="1" a="1"/>
  <c r="O115" i="1" a="1"/>
  <c r="O116" i="1" a="1"/>
  <c r="O117" i="1" a="1"/>
  <c r="O118" i="1" a="1"/>
  <c r="O119" i="1" a="1"/>
  <c r="O120" i="1" a="1"/>
  <c r="O121" i="1" a="1"/>
  <c r="O122" i="1" a="1"/>
  <c r="O123" i="1" a="1"/>
  <c r="O124" i="1" a="1"/>
  <c r="O125" i="1" a="1"/>
  <c r="O126" i="1" a="1"/>
  <c r="O127" i="1" a="1"/>
  <c r="O128" i="1" a="1"/>
  <c r="O129" i="1" a="1"/>
  <c r="O130" i="1" a="1"/>
  <c r="O131" i="1" a="1"/>
  <c r="O132" i="1" a="1"/>
  <c r="O133" i="1" a="1"/>
  <c r="O134" i="1" a="1"/>
  <c r="O135" i="1" a="1"/>
  <c r="O136" i="1" a="1"/>
  <c r="O137" i="1" a="1"/>
  <c r="O138" i="1" a="1"/>
  <c r="O139" i="1" a="1"/>
  <c r="O140" i="1" a="1"/>
  <c r="O141" i="1" a="1"/>
  <c r="O142" i="1" a="1"/>
  <c r="O143" i="1" a="1"/>
  <c r="O144" i="1" a="1"/>
  <c r="O145" i="1" a="1"/>
  <c r="O146" i="1" a="1"/>
  <c r="O147" i="1" a="1"/>
  <c r="O148" i="1" a="1"/>
  <c r="O149" i="1" a="1"/>
  <c r="O150" i="1" a="1"/>
  <c r="O151" i="1" a="1"/>
  <c r="O152" i="1" a="1"/>
  <c r="O153" i="1" a="1"/>
  <c r="O154" i="1" a="1"/>
  <c r="O155" i="1" a="1"/>
  <c r="O156" i="1" a="1"/>
  <c r="O157" i="1" a="1"/>
  <c r="O158" i="1" a="1"/>
  <c r="O159" i="1" a="1"/>
  <c r="O160" i="1" a="1"/>
  <c r="O161" i="1" a="1"/>
  <c r="O162" i="1" a="1"/>
  <c r="O163" i="1" a="1"/>
  <c r="O164" i="1" a="1"/>
  <c r="O165" i="1" a="1"/>
  <c r="O166" i="1" a="1"/>
  <c r="O167" i="1" a="1"/>
  <c r="O168" i="1" a="1"/>
  <c r="O169" i="1" a="1"/>
  <c r="O170" i="1" a="1"/>
  <c r="O171" i="1" a="1"/>
  <c r="O172" i="1" a="1"/>
  <c r="O173" i="1" a="1"/>
  <c r="O174" i="1" a="1"/>
  <c r="O175" i="1" a="1"/>
  <c r="O176" i="1" a="1"/>
  <c r="O177" i="1" a="1"/>
  <c r="O178" i="1" a="1"/>
  <c r="O179" i="1" a="1"/>
  <c r="O180" i="1" a="1"/>
  <c r="O181" i="1" a="1"/>
  <c r="O182" i="1" a="1"/>
  <c r="O183" i="1" a="1"/>
  <c r="O184" i="1" a="1"/>
  <c r="O185" i="1" a="1"/>
  <c r="O186" i="1" a="1"/>
  <c r="O187" i="1" a="1"/>
  <c r="O188" i="1" a="1"/>
  <c r="O189" i="1" a="1"/>
  <c r="O190" i="1" a="1"/>
  <c r="O191" i="1" a="1"/>
  <c r="O192" i="1" a="1"/>
  <c r="O193" i="1" a="1"/>
  <c r="O194" i="1" a="1"/>
  <c r="O195" i="1" a="1"/>
  <c r="O196" i="1" a="1"/>
  <c r="O197" i="1" a="1"/>
  <c r="O198" i="1" a="1"/>
  <c r="O199" i="1" a="1"/>
  <c r="O200" i="1" a="1"/>
  <c r="O201" i="1" a="1"/>
  <c r="O202" i="1" a="1"/>
  <c r="O203" i="1" a="1"/>
  <c r="O204" i="1" a="1"/>
  <c r="O205" i="1" a="1"/>
  <c r="O206" i="1" a="1"/>
  <c r="O207" i="1" a="1"/>
  <c r="O208" i="1" a="1"/>
  <c r="O209" i="1" a="1"/>
  <c r="O210" i="1" a="1"/>
  <c r="O211" i="1" a="1"/>
  <c r="O212" i="1" a="1"/>
  <c r="O213" i="1" a="1"/>
  <c r="O214" i="1" a="1"/>
  <c r="O215" i="1" a="1"/>
  <c r="O216" i="1" a="1"/>
  <c r="O217" i="1" a="1"/>
  <c r="O218" i="1" a="1"/>
  <c r="O219" i="1" a="1"/>
  <c r="O220" i="1" a="1"/>
  <c r="O221" i="1" a="1"/>
  <c r="O222" i="1" a="1"/>
  <c r="O223" i="1" a="1"/>
  <c r="O224" i="1" a="1"/>
  <c r="O225" i="1" a="1"/>
  <c r="O226" i="1" a="1"/>
  <c r="O227" i="1" a="1"/>
  <c r="O228" i="1" a="1"/>
  <c r="O229" i="1" a="1"/>
  <c r="O230" i="1" a="1"/>
  <c r="O231" i="1" a="1"/>
  <c r="O232" i="1" a="1"/>
  <c r="O233" i="1" a="1"/>
  <c r="O234" i="1" a="1"/>
  <c r="O235" i="1" a="1"/>
  <c r="O236" i="1" a="1"/>
  <c r="O237" i="1" a="1"/>
  <c r="O238" i="1" a="1"/>
  <c r="O239" i="1" a="1"/>
  <c r="O240" i="1" a="1"/>
  <c r="O241" i="1" a="1"/>
  <c r="O242" i="1" a="1"/>
  <c r="O243" i="1" a="1"/>
  <c r="O244" i="1" a="1"/>
  <c r="O245" i="1" a="1"/>
  <c r="O246" i="1" a="1"/>
  <c r="O247" i="1" a="1"/>
  <c r="O248" i="1" a="1"/>
  <c r="O249" i="1" a="1"/>
  <c r="O250" i="1" a="1"/>
  <c r="O251" i="1" a="1"/>
  <c r="O252" i="1" a="1"/>
  <c r="O253" i="1" a="1"/>
  <c r="O254" i="1" a="1"/>
  <c r="O255" i="1" a="1"/>
  <c r="O256" i="1" a="1"/>
  <c r="O257" i="1" a="1"/>
  <c r="O258" i="1" a="1"/>
  <c r="O259" i="1" a="1"/>
  <c r="O260" i="1" a="1"/>
  <c r="O261" i="1" a="1"/>
  <c r="O262" i="1" a="1"/>
  <c r="O263" i="1" a="1"/>
  <c r="O264" i="1" a="1"/>
  <c r="O265" i="1" a="1"/>
  <c r="O266" i="1" a="1"/>
  <c r="O267" i="1" a="1"/>
  <c r="O268" i="1" a="1"/>
  <c r="O269" i="1" a="1"/>
  <c r="O270" i="1" a="1"/>
  <c r="O271" i="1" a="1"/>
  <c r="O272" i="1" a="1"/>
  <c r="O273" i="1" a="1"/>
  <c r="O274" i="1" a="1"/>
  <c r="O275" i="1" a="1"/>
  <c r="O276" i="1" a="1"/>
  <c r="O277" i="1" a="1"/>
  <c r="O278" i="1" a="1"/>
  <c r="O279" i="1" a="1"/>
  <c r="O280" i="1" a="1"/>
  <c r="O281" i="1" a="1"/>
  <c r="O282" i="1" a="1"/>
  <c r="O283" i="1" a="1"/>
  <c r="O284" i="1" a="1"/>
  <c r="O285" i="1" a="1"/>
  <c r="O286" i="1" a="1"/>
  <c r="O287" i="1" a="1"/>
  <c r="O288" i="1" a="1"/>
  <c r="O289" i="1" a="1"/>
  <c r="O290" i="1" a="1"/>
  <c r="O291" i="1" a="1"/>
  <c r="O292" i="1" a="1"/>
  <c r="O293" i="1" a="1"/>
  <c r="O294" i="1" a="1"/>
  <c r="O295" i="1" a="1"/>
  <c r="O296" i="1" a="1"/>
  <c r="O297" i="1" a="1"/>
  <c r="O298" i="1" a="1"/>
  <c r="O299" i="1" a="1"/>
  <c r="O300" i="1" a="1"/>
  <c r="O301" i="1" a="1"/>
  <c r="O302" i="1" a="1"/>
  <c r="O303" i="1" a="1"/>
  <c r="O304" i="1" a="1"/>
  <c r="O305" i="1" a="1"/>
  <c r="O306" i="1" a="1"/>
  <c r="O307" i="1" a="1"/>
  <c r="O308" i="1" a="1"/>
  <c r="O309" i="1" a="1"/>
  <c r="O310" i="1" a="1"/>
  <c r="O311" i="1" a="1"/>
  <c r="O312" i="1" a="1"/>
  <c r="O313" i="1" a="1"/>
  <c r="O314" i="1" a="1"/>
  <c r="O315" i="1" a="1"/>
  <c r="O316" i="1" a="1"/>
  <c r="O317" i="1" a="1"/>
  <c r="O318" i="1" a="1"/>
  <c r="O319" i="1" a="1"/>
  <c r="O320" i="1" a="1"/>
  <c r="O321" i="1" a="1"/>
  <c r="O322" i="1" a="1"/>
  <c r="O323" i="1" a="1"/>
  <c r="O324" i="1" a="1"/>
  <c r="O325" i="1" a="1"/>
  <c r="O326" i="1" a="1"/>
  <c r="O327" i="1" a="1"/>
  <c r="O328" i="1" a="1"/>
  <c r="O329" i="1" a="1"/>
  <c r="O330" i="1" a="1"/>
  <c r="O331" i="1" a="1"/>
  <c r="O332" i="1" a="1"/>
  <c r="O333" i="1" a="1"/>
  <c r="O334" i="1" a="1"/>
  <c r="O335" i="1" a="1"/>
  <c r="O336" i="1" a="1"/>
  <c r="O337" i="1" a="1"/>
  <c r="O338" i="1" a="1"/>
  <c r="O339" i="1" a="1"/>
  <c r="O340" i="1" a="1"/>
  <c r="O341" i="1" a="1"/>
  <c r="O342" i="1" a="1"/>
  <c r="O343" i="1" a="1"/>
  <c r="O344" i="1" a="1"/>
  <c r="O345" i="1" a="1"/>
  <c r="O346" i="1" a="1"/>
  <c r="O347" i="1" a="1"/>
  <c r="O348" i="1" a="1"/>
  <c r="O349" i="1" a="1"/>
  <c r="O350" i="1" a="1"/>
  <c r="O351" i="1" a="1"/>
  <c r="O352" i="1" a="1"/>
  <c r="O353" i="1" a="1"/>
  <c r="O354" i="1" a="1"/>
  <c r="O355" i="1" a="1"/>
  <c r="O356" i="1" a="1"/>
  <c r="O357" i="1" a="1"/>
  <c r="O358" i="1" a="1"/>
  <c r="O359" i="1" a="1"/>
  <c r="O360" i="1" a="1"/>
  <c r="O361" i="1" a="1"/>
  <c r="O362" i="1" a="1"/>
  <c r="O363" i="1" a="1"/>
  <c r="O364" i="1" a="1"/>
  <c r="O365" i="1" a="1"/>
  <c r="O366" i="1" a="1"/>
  <c r="O367" i="1" a="1"/>
  <c r="O368" i="1" a="1"/>
  <c r="O369" i="1" a="1"/>
  <c r="O370" i="1" a="1"/>
  <c r="O371" i="1" a="1"/>
  <c r="O372" i="1" a="1"/>
  <c r="O373" i="1" a="1"/>
  <c r="O374" i="1" a="1"/>
  <c r="O375" i="1" a="1"/>
  <c r="O376" i="1" a="1"/>
  <c r="O377" i="1" a="1"/>
  <c r="O378" i="1" a="1"/>
  <c r="O379" i="1" a="1"/>
  <c r="O380" i="1" a="1"/>
  <c r="O381" i="1" a="1"/>
  <c r="O382" i="1" a="1"/>
  <c r="O383" i="1" a="1"/>
  <c r="O384" i="1" a="1"/>
  <c r="O385" i="1" a="1"/>
  <c r="O386" i="1" a="1"/>
  <c r="O387" i="1" a="1"/>
  <c r="O388" i="1" a="1"/>
  <c r="O389" i="1" a="1"/>
  <c r="O390" i="1" a="1"/>
  <c r="O391" i="1" a="1"/>
  <c r="O392" i="1" a="1"/>
  <c r="O393" i="1" a="1"/>
  <c r="O394" i="1" a="1"/>
  <c r="O395" i="1" a="1"/>
  <c r="O396" i="1" a="1"/>
  <c r="O397" i="1" a="1"/>
  <c r="O398" i="1" a="1"/>
  <c r="O399" i="1" a="1"/>
  <c r="O400" i="1" a="1"/>
  <c r="O401" i="1" a="1"/>
  <c r="O402" i="1" a="1"/>
  <c r="O403" i="1" a="1"/>
  <c r="O404" i="1" a="1"/>
  <c r="O405" i="1" a="1"/>
  <c r="O406" i="1" a="1"/>
  <c r="O407" i="1" a="1"/>
  <c r="O408" i="1" a="1"/>
  <c r="O409" i="1" a="1"/>
  <c r="O410" i="1" a="1"/>
  <c r="O411" i="1" a="1"/>
  <c r="O412" i="1" a="1"/>
  <c r="O413" i="1" a="1"/>
  <c r="O414" i="1" a="1"/>
  <c r="O415" i="1" a="1"/>
  <c r="O416" i="1" a="1"/>
  <c r="O417" i="1" a="1"/>
  <c r="O418" i="1" a="1"/>
  <c r="O419" i="1" a="1"/>
  <c r="O420" i="1" a="1"/>
  <c r="O421" i="1" a="1"/>
  <c r="O422" i="1" a="1"/>
  <c r="O423" i="1" a="1"/>
  <c r="O424" i="1" a="1"/>
  <c r="O425" i="1" a="1"/>
  <c r="O426" i="1" a="1"/>
  <c r="O427" i="1" a="1"/>
  <c r="O428" i="1" a="1"/>
  <c r="O429" i="1" a="1"/>
  <c r="O430" i="1" a="1"/>
  <c r="O431" i="1" a="1"/>
  <c r="O432" i="1" a="1"/>
  <c r="O433" i="1" a="1"/>
  <c r="O434" i="1" a="1"/>
  <c r="O435" i="1" a="1"/>
  <c r="O436" i="1" a="1"/>
  <c r="O437" i="1" a="1"/>
  <c r="O438" i="1" a="1"/>
  <c r="O439" i="1" a="1"/>
  <c r="O440" i="1" a="1"/>
  <c r="O441" i="1" a="1"/>
  <c r="O442" i="1" a="1"/>
  <c r="O443" i="1" a="1"/>
  <c r="O444" i="1" a="1"/>
  <c r="O445" i="1" a="1"/>
  <c r="O446" i="1" a="1"/>
  <c r="O447" i="1" a="1"/>
  <c r="O448" i="1" a="1"/>
  <c r="O449" i="1" a="1"/>
  <c r="O450" i="1" a="1"/>
  <c r="O451" i="1" a="1"/>
  <c r="O452" i="1" a="1"/>
  <c r="O453" i="1" a="1"/>
  <c r="O454" i="1" a="1"/>
  <c r="O455" i="1" a="1"/>
  <c r="O456" i="1" a="1"/>
  <c r="O457" i="1" a="1"/>
  <c r="O458" i="1" a="1"/>
  <c r="O459" i="1" a="1"/>
  <c r="O460" i="1" a="1"/>
  <c r="O461" i="1" a="1"/>
  <c r="O462" i="1" a="1"/>
  <c r="O463" i="1" a="1"/>
  <c r="O464" i="1" a="1"/>
  <c r="O465" i="1" a="1"/>
  <c r="O466" i="1" a="1"/>
  <c r="O467" i="1" a="1"/>
  <c r="O468" i="1" a="1"/>
  <c r="O469" i="1" a="1"/>
  <c r="O470" i="1" a="1"/>
  <c r="O471" i="1" a="1"/>
  <c r="O472" i="1" a="1"/>
  <c r="O473" i="1" a="1"/>
  <c r="O474" i="1" a="1"/>
  <c r="O475" i="1" a="1"/>
  <c r="O476" i="1" a="1"/>
  <c r="O477" i="1" a="1"/>
  <c r="O478" i="1" a="1"/>
  <c r="O479" i="1" a="1"/>
  <c r="O480" i="1" a="1"/>
  <c r="O481" i="1" a="1"/>
  <c r="O482" i="1" a="1"/>
  <c r="O483" i="1" a="1"/>
  <c r="O484" i="1" a="1"/>
  <c r="O485" i="1" a="1"/>
  <c r="O486" i="1" a="1"/>
  <c r="O487" i="1" a="1"/>
  <c r="O488" i="1" a="1"/>
  <c r="O489" i="1" a="1"/>
  <c r="O490" i="1" a="1"/>
  <c r="O491" i="1" a="1"/>
  <c r="O492" i="1" a="1"/>
  <c r="O493" i="1" a="1"/>
  <c r="O494" i="1" a="1"/>
  <c r="O495" i="1" a="1"/>
  <c r="O496" i="1" a="1"/>
  <c r="O497" i="1" a="1"/>
  <c r="O498" i="1" a="1"/>
  <c r="O499" i="1" a="1"/>
  <c r="O500" i="1" a="1"/>
  <c r="O501" i="1" a="1"/>
  <c r="O502" i="1" a="1"/>
  <c r="O503" i="1" a="1"/>
  <c r="O504" i="1" a="1"/>
  <c r="O505" i="1" a="1"/>
  <c r="O506" i="1" a="1"/>
  <c r="O507" i="1" a="1"/>
  <c r="O508" i="1" a="1"/>
  <c r="O509" i="1" a="1"/>
  <c r="O510" i="1" a="1"/>
  <c r="O511" i="1" a="1"/>
  <c r="O512" i="1" a="1"/>
  <c r="O513" i="1" a="1"/>
  <c r="O514" i="1" a="1"/>
  <c r="O515" i="1" a="1"/>
  <c r="O516" i="1" a="1"/>
  <c r="O517" i="1" a="1"/>
  <c r="O518" i="1" a="1"/>
  <c r="O519" i="1" a="1"/>
  <c r="O520" i="1" a="1"/>
  <c r="O521" i="1" a="1"/>
  <c r="O522" i="1" a="1"/>
  <c r="O523" i="1" a="1"/>
  <c r="O524" i="1" a="1"/>
  <c r="O525" i="1" a="1"/>
  <c r="O526" i="1" a="1"/>
  <c r="O527" i="1" a="1"/>
  <c r="O528" i="1" a="1"/>
  <c r="O529" i="1" a="1"/>
  <c r="O530" i="1" a="1"/>
  <c r="O531" i="1" a="1"/>
  <c r="O532" i="1" a="1"/>
  <c r="O533" i="1" a="1"/>
  <c r="O534" i="1" a="1"/>
  <c r="O535" i="1" a="1"/>
  <c r="O536" i="1" a="1"/>
  <c r="O537" i="1" a="1"/>
  <c r="O538" i="1" a="1"/>
  <c r="O539" i="1" a="1"/>
  <c r="O540" i="1" a="1"/>
  <c r="O541" i="1" a="1"/>
  <c r="O542" i="1" a="1"/>
  <c r="O543" i="1" a="1"/>
  <c r="O544" i="1" a="1"/>
  <c r="O545" i="1" a="1"/>
  <c r="O546" i="1" a="1"/>
  <c r="O547" i="1" a="1"/>
  <c r="O548" i="1" a="1"/>
  <c r="O549" i="1" a="1"/>
  <c r="O550" i="1" a="1"/>
  <c r="O551" i="1" a="1"/>
  <c r="O552" i="1" a="1"/>
  <c r="O553" i="1" a="1"/>
  <c r="O554" i="1" a="1"/>
  <c r="O555" i="1" a="1"/>
  <c r="O556" i="1" a="1"/>
  <c r="O557" i="1" a="1"/>
  <c r="O558" i="1" a="1"/>
  <c r="O559" i="1" a="1"/>
  <c r="O560" i="1" a="1"/>
  <c r="O561" i="1" a="1"/>
  <c r="O562" i="1" a="1"/>
  <c r="O563" i="1" a="1"/>
  <c r="O564" i="1" a="1"/>
  <c r="O565" i="1" a="1"/>
  <c r="O566" i="1" a="1"/>
  <c r="O567" i="1" a="1"/>
  <c r="O568" i="1" a="1"/>
  <c r="O569" i="1" a="1"/>
  <c r="O570" i="1" a="1"/>
  <c r="O571" i="1" a="1"/>
  <c r="O572" i="1" a="1"/>
  <c r="O573" i="1" a="1"/>
  <c r="O574" i="1" a="1"/>
  <c r="O575" i="1" a="1"/>
  <c r="O576" i="1" a="1"/>
  <c r="O577" i="1" a="1"/>
  <c r="O578" i="1" a="1"/>
  <c r="O579" i="1" a="1"/>
  <c r="O580" i="1" a="1"/>
  <c r="O581" i="1" a="1"/>
  <c r="O582" i="1" a="1"/>
  <c r="O583" i="1" a="1"/>
  <c r="O584" i="1" a="1"/>
  <c r="O585" i="1" a="1"/>
  <c r="O586" i="1" a="1"/>
  <c r="O587" i="1" a="1"/>
  <c r="O588" i="1" a="1"/>
  <c r="O589" i="1" a="1"/>
  <c r="O590" i="1" a="1"/>
  <c r="O591" i="1" a="1"/>
  <c r="O592" i="1" a="1"/>
  <c r="O593" i="1" a="1"/>
  <c r="O594" i="1" a="1"/>
  <c r="O595" i="1" a="1"/>
  <c r="O596" i="1" a="1"/>
  <c r="O597" i="1" a="1"/>
  <c r="O598" i="1" a="1"/>
  <c r="O599" i="1" a="1"/>
  <c r="O600" i="1" a="1"/>
  <c r="O601" i="1" a="1"/>
  <c r="O602" i="1" a="1"/>
  <c r="O603" i="1" a="1"/>
  <c r="O604" i="1" a="1"/>
  <c r="O605" i="1" a="1"/>
  <c r="O606" i="1" a="1"/>
  <c r="O607" i="1" a="1"/>
  <c r="O608" i="1" a="1"/>
  <c r="O609" i="1" a="1"/>
  <c r="O610" i="1" a="1"/>
  <c r="O611" i="1" a="1"/>
  <c r="O612" i="1" a="1"/>
  <c r="O613" i="1" a="1"/>
  <c r="O614" i="1" a="1"/>
  <c r="O615" i="1" a="1"/>
  <c r="O616" i="1" a="1"/>
  <c r="O617" i="1" a="1"/>
  <c r="O618" i="1" a="1"/>
  <c r="O619" i="1" a="1"/>
  <c r="O620" i="1" a="1"/>
  <c r="O621" i="1" a="1"/>
  <c r="O622" i="1" a="1"/>
  <c r="O623" i="1" a="1"/>
  <c r="O624" i="1" a="1"/>
  <c r="O625" i="1" a="1"/>
  <c r="O626" i="1" a="1"/>
  <c r="O627" i="1" a="1"/>
  <c r="O628" i="1" a="1"/>
  <c r="O629" i="1" a="1"/>
  <c r="O630" i="1" a="1"/>
  <c r="O631" i="1" a="1"/>
  <c r="O632" i="1" a="1"/>
  <c r="O633" i="1" a="1"/>
  <c r="O634" i="1" a="1"/>
  <c r="O635" i="1" a="1"/>
  <c r="O636" i="1" a="1"/>
  <c r="O637" i="1" a="1"/>
  <c r="O638" i="1" a="1"/>
  <c r="O639" i="1" a="1"/>
  <c r="O640" i="1" a="1"/>
  <c r="O641" i="1" a="1"/>
  <c r="O642" i="1" a="1"/>
  <c r="O643" i="1" a="1"/>
  <c r="O644" i="1" a="1"/>
  <c r="O645" i="1" a="1"/>
  <c r="O646" i="1" a="1"/>
  <c r="O647" i="1" a="1"/>
  <c r="O648" i="1" a="1"/>
  <c r="O649" i="1" a="1"/>
  <c r="O650" i="1" a="1"/>
  <c r="O651" i="1" a="1"/>
  <c r="O652" i="1" a="1"/>
  <c r="O653" i="1" a="1"/>
  <c r="O654" i="1" a="1"/>
  <c r="O655" i="1" a="1"/>
  <c r="O656" i="1" a="1"/>
  <c r="O657" i="1" a="1"/>
  <c r="O658" i="1" a="1"/>
  <c r="O659" i="1" a="1"/>
  <c r="O660" i="1" a="1"/>
  <c r="O661" i="1" a="1"/>
  <c r="O662" i="1" a="1"/>
  <c r="O663" i="1" a="1"/>
  <c r="O664" i="1" a="1"/>
  <c r="O665" i="1" a="1"/>
  <c r="O666" i="1" a="1"/>
  <c r="O667" i="1" a="1"/>
  <c r="O668" i="1" a="1"/>
  <c r="O669" i="1" a="1"/>
  <c r="O670" i="1" a="1"/>
  <c r="O671" i="1" a="1"/>
  <c r="O672" i="1" a="1"/>
  <c r="O673" i="1" a="1"/>
  <c r="O674" i="1" a="1"/>
  <c r="O675" i="1" a="1"/>
  <c r="O676" i="1" a="1"/>
  <c r="O677" i="1" a="1"/>
  <c r="O678" i="1" a="1"/>
  <c r="O679" i="1" a="1"/>
  <c r="O680" i="1" a="1"/>
  <c r="O681" i="1" a="1"/>
  <c r="O682" i="1" a="1"/>
  <c r="O683" i="1" a="1"/>
  <c r="O684" i="1" a="1"/>
  <c r="O685" i="1" a="1"/>
  <c r="O686" i="1" a="1"/>
  <c r="O687" i="1" a="1"/>
  <c r="O688" i="1" a="1"/>
  <c r="O689" i="1" a="1"/>
  <c r="O690" i="1" a="1"/>
  <c r="O691" i="1" a="1"/>
  <c r="O692" i="1" a="1"/>
  <c r="O693" i="1" a="1"/>
  <c r="O694" i="1" a="1"/>
  <c r="O695" i="1" a="1"/>
  <c r="O696" i="1" a="1"/>
  <c r="O697" i="1" a="1"/>
  <c r="O698" i="1" a="1"/>
  <c r="O699" i="1" a="1"/>
  <c r="O700" i="1" a="1"/>
  <c r="O701" i="1" a="1"/>
  <c r="O702" i="1" a="1"/>
  <c r="O703" i="1" a="1"/>
  <c r="O704" i="1" a="1"/>
  <c r="O705" i="1" a="1"/>
  <c r="O706" i="1" a="1"/>
  <c r="O707" i="1" a="1"/>
  <c r="O708" i="1" a="1"/>
  <c r="O709" i="1" a="1"/>
  <c r="O710" i="1" a="1"/>
  <c r="O711" i="1" a="1"/>
  <c r="O712" i="1" a="1"/>
  <c r="O713" i="1" a="1"/>
  <c r="O714" i="1" a="1"/>
  <c r="O715" i="1" a="1"/>
  <c r="O716" i="1" a="1"/>
  <c r="O717" i="1" a="1"/>
  <c r="O718" i="1" a="1"/>
  <c r="O719" i="1" a="1"/>
  <c r="O720" i="1" a="1"/>
  <c r="O721" i="1" a="1"/>
  <c r="O722" i="1" a="1"/>
  <c r="O723" i="1" a="1"/>
  <c r="O724" i="1" a="1"/>
  <c r="O725" i="1" a="1"/>
  <c r="O726" i="1" a="1"/>
  <c r="O727" i="1" a="1"/>
  <c r="O728" i="1" a="1"/>
  <c r="O729" i="1" a="1"/>
  <c r="O730" i="1" a="1"/>
  <c r="O731" i="1" a="1"/>
  <c r="O732" i="1" a="1"/>
  <c r="O733" i="1" a="1"/>
  <c r="O734" i="1" a="1"/>
  <c r="O735" i="1" a="1"/>
  <c r="O736" i="1" a="1"/>
  <c r="O737" i="1" a="1"/>
  <c r="O738" i="1" a="1"/>
  <c r="O739" i="1" a="1"/>
  <c r="O740" i="1" a="1"/>
  <c r="O741" i="1" a="1"/>
  <c r="O742" i="1" a="1"/>
  <c r="O743" i="1" a="1"/>
  <c r="O744" i="1" a="1"/>
  <c r="O745" i="1" a="1"/>
  <c r="O746" i="1" a="1"/>
  <c r="O747" i="1" a="1"/>
  <c r="O748" i="1" a="1"/>
  <c r="O749" i="1" a="1"/>
  <c r="O750" i="1" a="1"/>
  <c r="O751" i="1" a="1"/>
  <c r="O752" i="1" a="1"/>
  <c r="O753" i="1" a="1"/>
  <c r="O754" i="1" a="1"/>
  <c r="O755" i="1" a="1"/>
  <c r="O756" i="1" a="1"/>
  <c r="O757" i="1" a="1"/>
  <c r="O758" i="1" a="1"/>
  <c r="O759" i="1" a="1"/>
  <c r="O760" i="1" a="1"/>
  <c r="O761" i="1" a="1"/>
  <c r="O762" i="1" a="1"/>
  <c r="O763" i="1" a="1"/>
  <c r="O764" i="1" a="1"/>
  <c r="O765" i="1" a="1"/>
  <c r="O766" i="1" a="1"/>
  <c r="O767" i="1" a="1"/>
  <c r="O768" i="1" a="1"/>
  <c r="O769" i="1" a="1"/>
  <c r="O770" i="1" a="1"/>
  <c r="O771" i="1" a="1"/>
  <c r="O772" i="1" a="1"/>
  <c r="O773" i="1" a="1"/>
  <c r="O774" i="1" a="1"/>
  <c r="O775" i="1" a="1"/>
  <c r="O776" i="1" a="1"/>
  <c r="O777" i="1" a="1"/>
  <c r="O778" i="1" a="1"/>
  <c r="O779" i="1" a="1"/>
  <c r="O780" i="1" a="1"/>
  <c r="O781" i="1" a="1"/>
  <c r="O782" i="1" a="1"/>
  <c r="O783" i="1" a="1"/>
  <c r="O784" i="1" a="1"/>
  <c r="O785" i="1" a="1"/>
  <c r="O786" i="1" a="1"/>
  <c r="O787" i="1" a="1"/>
  <c r="O788" i="1" a="1"/>
  <c r="O789" i="1" a="1"/>
  <c r="O790" i="1" a="1"/>
  <c r="O791" i="1" a="1"/>
  <c r="O792" i="1" a="1"/>
  <c r="O793" i="1" a="1"/>
  <c r="O794" i="1" a="1"/>
  <c r="O795" i="1" a="1"/>
  <c r="O796" i="1" a="1"/>
  <c r="O797" i="1" a="1"/>
  <c r="O798" i="1" a="1"/>
  <c r="O799" i="1" a="1"/>
  <c r="O800" i="1" a="1"/>
  <c r="O801" i="1" a="1"/>
  <c r="O802" i="1" a="1"/>
  <c r="O803" i="1" a="1"/>
  <c r="O804" i="1" a="1"/>
  <c r="O805" i="1" a="1"/>
  <c r="O806" i="1" a="1"/>
  <c r="O807" i="1" a="1"/>
  <c r="O808" i="1" a="1"/>
  <c r="O809" i="1" a="1"/>
  <c r="O810" i="1" a="1"/>
  <c r="O811" i="1" a="1"/>
  <c r="O812" i="1" a="1"/>
  <c r="O813" i="1" a="1"/>
  <c r="O814" i="1" a="1"/>
  <c r="O815" i="1" a="1"/>
  <c r="O816" i="1" a="1"/>
  <c r="O817" i="1" a="1"/>
  <c r="O818" i="1" a="1"/>
  <c r="O819" i="1" a="1"/>
  <c r="O820" i="1" a="1"/>
  <c r="O821" i="1" a="1"/>
  <c r="O822" i="1" a="1"/>
  <c r="O823" i="1" a="1"/>
  <c r="O824" i="1" a="1"/>
  <c r="O825" i="1" a="1"/>
  <c r="O826" i="1" a="1"/>
  <c r="O827" i="1" a="1"/>
  <c r="O828" i="1" a="1"/>
  <c r="O829" i="1" a="1"/>
  <c r="O830" i="1" a="1"/>
  <c r="O831" i="1" a="1"/>
  <c r="O832" i="1" a="1"/>
  <c r="O833" i="1" a="1"/>
  <c r="O834" i="1" a="1"/>
  <c r="O835" i="1" a="1"/>
  <c r="O836" i="1" a="1"/>
  <c r="O837" i="1" a="1"/>
  <c r="O838" i="1" a="1"/>
  <c r="O839" i="1" a="1"/>
  <c r="O840" i="1" a="1"/>
  <c r="O841" i="1" a="1"/>
  <c r="O842" i="1" a="1"/>
  <c r="O843" i="1" a="1"/>
  <c r="O844" i="1" a="1"/>
  <c r="O845" i="1" a="1"/>
  <c r="O846" i="1" a="1"/>
  <c r="O847" i="1" a="1"/>
  <c r="O848" i="1" a="1"/>
  <c r="O849" i="1" a="1"/>
  <c r="O850" i="1" a="1"/>
  <c r="O851" i="1" a="1"/>
  <c r="O852" i="1" a="1"/>
  <c r="O853" i="1" a="1"/>
  <c r="O854" i="1" a="1"/>
  <c r="O855" i="1" a="1"/>
  <c r="O856" i="1" a="1"/>
  <c r="O857" i="1" a="1"/>
  <c r="O858" i="1" a="1"/>
  <c r="O859" i="1" a="1"/>
  <c r="O860" i="1" a="1"/>
  <c r="O861" i="1" a="1"/>
  <c r="O862" i="1" a="1"/>
  <c r="O863" i="1" a="1"/>
  <c r="O864" i="1" a="1"/>
  <c r="O865" i="1" a="1"/>
  <c r="O866" i="1" a="1"/>
  <c r="O867" i="1" a="1"/>
  <c r="O868" i="1" a="1"/>
  <c r="O869" i="1" a="1"/>
  <c r="O870" i="1" a="1"/>
  <c r="O871" i="1" a="1"/>
  <c r="O872" i="1" a="1"/>
  <c r="O873" i="1" a="1"/>
  <c r="O874" i="1" a="1"/>
  <c r="O875" i="1" a="1"/>
  <c r="O876" i="1" a="1"/>
  <c r="O877" i="1" a="1"/>
  <c r="O878" i="1" a="1"/>
  <c r="O879" i="1" a="1"/>
  <c r="O880" i="1" a="1"/>
  <c r="O881" i="1" a="1"/>
  <c r="O882" i="1" a="1"/>
  <c r="O883" i="1" a="1"/>
  <c r="O884" i="1" a="1"/>
  <c r="O885" i="1" a="1"/>
  <c r="O886" i="1" a="1"/>
  <c r="O887" i="1" a="1"/>
  <c r="O888" i="1" a="1"/>
  <c r="O889" i="1" a="1"/>
  <c r="O890" i="1" a="1"/>
  <c r="O891" i="1" a="1"/>
  <c r="O892" i="1" a="1"/>
  <c r="O893" i="1" a="1"/>
  <c r="O894" i="1" a="1"/>
  <c r="O895" i="1" a="1"/>
  <c r="O896" i="1" a="1"/>
  <c r="O897" i="1" a="1"/>
  <c r="O898" i="1" a="1"/>
  <c r="O899" i="1" a="1"/>
  <c r="O900" i="1" a="1"/>
  <c r="O901" i="1" a="1"/>
  <c r="O902" i="1" a="1"/>
  <c r="O903" i="1" a="1"/>
  <c r="O904" i="1" a="1"/>
  <c r="O905" i="1" a="1"/>
  <c r="O906" i="1" a="1"/>
  <c r="O907" i="1" a="1"/>
  <c r="O908" i="1" a="1"/>
  <c r="O909" i="1" a="1"/>
  <c r="O910" i="1" a="1"/>
  <c r="O911" i="1" a="1"/>
  <c r="O912" i="1" a="1"/>
  <c r="O913" i="1" a="1"/>
  <c r="O914" i="1" a="1"/>
  <c r="O915" i="1" a="1"/>
  <c r="O916" i="1" a="1"/>
  <c r="O917" i="1" a="1"/>
  <c r="O918" i="1" a="1"/>
  <c r="O919" i="1" a="1"/>
  <c r="O920" i="1" a="1"/>
  <c r="O921" i="1" a="1"/>
  <c r="O922" i="1" a="1"/>
  <c r="O923" i="1" a="1"/>
  <c r="O924" i="1" a="1"/>
  <c r="O925" i="1" a="1"/>
  <c r="O926" i="1" a="1"/>
  <c r="O927" i="1" a="1"/>
  <c r="O928" i="1" a="1"/>
  <c r="O929" i="1" a="1"/>
  <c r="O930" i="1" a="1"/>
  <c r="O931" i="1" a="1"/>
  <c r="O932" i="1" a="1"/>
  <c r="O933" i="1" a="1"/>
  <c r="O934" i="1" a="1"/>
  <c r="O935" i="1" a="1"/>
  <c r="O936" i="1" a="1"/>
  <c r="O937" i="1" a="1"/>
  <c r="O938" i="1" a="1"/>
  <c r="O939" i="1" a="1"/>
  <c r="O940" i="1" a="1"/>
  <c r="O941" i="1" a="1"/>
  <c r="O942" i="1" a="1"/>
  <c r="O943" i="1" a="1"/>
  <c r="O944" i="1" a="1"/>
  <c r="O945" i="1" a="1"/>
  <c r="O946" i="1" a="1"/>
  <c r="O947" i="1" a="1"/>
  <c r="O948" i="1" a="1"/>
  <c r="O949" i="1" a="1"/>
  <c r="O950" i="1" a="1"/>
  <c r="O951" i="1" a="1"/>
  <c r="O952" i="1" a="1"/>
  <c r="O953" i="1" a="1"/>
  <c r="O954" i="1" a="1"/>
  <c r="O955" i="1" a="1"/>
  <c r="O956" i="1" a="1"/>
  <c r="O957" i="1" a="1"/>
  <c r="O958" i="1" a="1"/>
  <c r="O959" i="1" a="1"/>
  <c r="O960" i="1" a="1"/>
  <c r="O961" i="1" a="1"/>
  <c r="O962" i="1" a="1"/>
  <c r="O963" i="1" a="1"/>
  <c r="O964" i="1" a="1"/>
  <c r="O965" i="1" a="1"/>
  <c r="O966" i="1" a="1"/>
  <c r="O967" i="1" a="1"/>
  <c r="O968" i="1" a="1"/>
  <c r="O969" i="1" a="1"/>
  <c r="O970" i="1" a="1"/>
  <c r="O971" i="1" a="1"/>
  <c r="O972" i="1" a="1"/>
  <c r="O973" i="1" a="1"/>
  <c r="O974" i="1" a="1"/>
  <c r="O975" i="1" a="1"/>
  <c r="O976" i="1" a="1"/>
  <c r="O977" i="1" a="1"/>
  <c r="O978" i="1" a="1"/>
  <c r="O979" i="1" a="1"/>
  <c r="O980" i="1" a="1"/>
  <c r="O981" i="1" a="1"/>
  <c r="O982" i="1" a="1"/>
  <c r="O983" i="1" a="1"/>
  <c r="O984" i="1" a="1"/>
  <c r="O985" i="1" a="1"/>
  <c r="O986" i="1" a="1"/>
  <c r="O987" i="1" a="1"/>
  <c r="O988" i="1" a="1"/>
  <c r="O989" i="1" a="1"/>
  <c r="O990" i="1" a="1"/>
  <c r="O991" i="1" a="1"/>
  <c r="O992" i="1" a="1"/>
  <c r="O993" i="1" a="1"/>
  <c r="O994" i="1" a="1"/>
  <c r="O995" i="1" a="1"/>
  <c r="O996" i="1" a="1"/>
  <c r="O997" i="1" a="1"/>
  <c r="O998" i="1" a="1"/>
  <c r="O999" i="1" a="1"/>
  <c r="O1000" i="1" a="1"/>
  <c r="O1001" i="1" a="1"/>
  <c r="O1002" i="1" a="1"/>
  <c r="O1003" i="1" a="1"/>
  <c r="O1004" i="1" a="1"/>
  <c r="O1005" i="1" a="1"/>
  <c r="O1006" i="1" a="1"/>
  <c r="O1007" i="1" a="1"/>
  <c r="O1008" i="1" a="1"/>
  <c r="O1009" i="1" a="1"/>
  <c r="O1010" i="1" a="1"/>
  <c r="O1011" i="1" a="1"/>
  <c r="O1012" i="1" a="1"/>
  <c r="O1013" i="1" a="1"/>
  <c r="O1014" i="1" a="1"/>
  <c r="O1015" i="1" a="1"/>
  <c r="O1016" i="1" a="1"/>
  <c r="O1017" i="1" a="1"/>
  <c r="O1018" i="1" a="1"/>
  <c r="O1019" i="1" a="1"/>
  <c r="O1020" i="1" a="1"/>
  <c r="O1021" i="1" a="1"/>
  <c r="O1022" i="1" a="1"/>
  <c r="O1023" i="1" a="1"/>
  <c r="O1024" i="1" a="1"/>
  <c r="O1025" i="1" a="1"/>
  <c r="O1026" i="1" a="1"/>
  <c r="O1027" i="1" a="1"/>
  <c r="O1028" i="1" a="1"/>
  <c r="O1029" i="1" a="1"/>
  <c r="O1030" i="1" a="1"/>
  <c r="O1031" i="1" a="1"/>
  <c r="O1032" i="1" a="1"/>
  <c r="O1033" i="1" a="1"/>
  <c r="O1034" i="1" a="1"/>
  <c r="O1035" i="1" a="1"/>
  <c r="O1036" i="1" a="1"/>
  <c r="O1037" i="1" a="1"/>
  <c r="O1038" i="1" a="1"/>
  <c r="O1039" i="1" a="1"/>
  <c r="O1040" i="1" a="1"/>
  <c r="O1041" i="1" a="1"/>
  <c r="O1042" i="1" a="1"/>
  <c r="O1043" i="1" a="1"/>
  <c r="O1044" i="1" a="1"/>
  <c r="O1045" i="1" a="1"/>
  <c r="O1046" i="1" a="1"/>
  <c r="O1047" i="1" a="1"/>
  <c r="O1048" i="1" a="1"/>
  <c r="O1049" i="1" a="1"/>
  <c r="O1050" i="1" a="1"/>
  <c r="O1051" i="1" a="1"/>
  <c r="O1052" i="1" a="1"/>
  <c r="O1053" i="1" a="1"/>
  <c r="O1054" i="1" a="1"/>
  <c r="O1055" i="1" a="1"/>
  <c r="O1056" i="1" a="1"/>
  <c r="O1057" i="1" a="1"/>
  <c r="O1058" i="1" a="1"/>
  <c r="O1059" i="1" a="1"/>
  <c r="O1060" i="1" a="1"/>
  <c r="O1061" i="1" a="1"/>
  <c r="O1062" i="1" a="1"/>
  <c r="O1063" i="1" a="1"/>
  <c r="O1064" i="1" a="1"/>
  <c r="O1065" i="1" a="1"/>
  <c r="O1066" i="1" a="1"/>
  <c r="O1067" i="1" a="1"/>
  <c r="O1068" i="1" a="1"/>
  <c r="O1069" i="1" a="1"/>
  <c r="O1070" i="1" a="1"/>
  <c r="O1071" i="1" a="1"/>
  <c r="O1072" i="1" a="1"/>
  <c r="O1073" i="1" a="1"/>
  <c r="O1074" i="1" a="1"/>
  <c r="O1075" i="1" a="1"/>
  <c r="O1076" i="1" a="1"/>
  <c r="O1077" i="1" a="1"/>
  <c r="O1078" i="1" a="1"/>
  <c r="O1079" i="1" a="1"/>
  <c r="O1080" i="1" a="1"/>
  <c r="O1081" i="1" a="1"/>
  <c r="O1082" i="1" a="1"/>
  <c r="O1083" i="1" a="1"/>
  <c r="O1084" i="1" a="1"/>
  <c r="O1085" i="1" a="1"/>
  <c r="O1086" i="1" a="1"/>
  <c r="O1087" i="1" a="1"/>
  <c r="O1088" i="1" a="1"/>
  <c r="O1089" i="1" a="1"/>
  <c r="O1090" i="1" a="1"/>
  <c r="O1091" i="1" a="1"/>
  <c r="O1092" i="1" a="1"/>
  <c r="O1093" i="1" a="1"/>
  <c r="O1094" i="1" a="1"/>
  <c r="O1095" i="1" a="1"/>
  <c r="O1096" i="1" a="1"/>
  <c r="O1097" i="1" a="1"/>
  <c r="O1098" i="1" a="1"/>
  <c r="O1099" i="1" a="1"/>
  <c r="O1100" i="1" a="1"/>
  <c r="O1101" i="1" a="1"/>
  <c r="O1102" i="1" a="1"/>
  <c r="O1103" i="1" a="1"/>
  <c r="O1104" i="1" a="1"/>
  <c r="O1105" i="1" a="1"/>
  <c r="O1106" i="1" a="1"/>
  <c r="O1107" i="1" a="1"/>
  <c r="O1108" i="1" a="1"/>
  <c r="O1109" i="1" a="1"/>
  <c r="O1110" i="1" a="1"/>
  <c r="O1111" i="1" a="1"/>
  <c r="O1112" i="1" a="1"/>
  <c r="O1113" i="1" a="1"/>
  <c r="O1114" i="1" a="1"/>
  <c r="O1115" i="1" a="1"/>
  <c r="O1116" i="1" a="1"/>
  <c r="O1117" i="1" a="1"/>
  <c r="O1118" i="1" a="1"/>
  <c r="O1119" i="1" a="1"/>
  <c r="O1120" i="1" a="1"/>
  <c r="O1121" i="1" a="1"/>
  <c r="O1122" i="1" a="1"/>
  <c r="O1123" i="1" a="1"/>
  <c r="O1124" i="1" a="1"/>
  <c r="O1125" i="1" a="1"/>
  <c r="O1126" i="1" a="1"/>
  <c r="O1127" i="1" a="1"/>
  <c r="O1128" i="1" a="1"/>
  <c r="O1129" i="1" a="1"/>
  <c r="O1130" i="1" a="1"/>
  <c r="O1131" i="1" a="1"/>
  <c r="O1132" i="1" a="1"/>
  <c r="O1133" i="1" a="1"/>
  <c r="O1134" i="1" a="1"/>
  <c r="O1135" i="1" a="1"/>
  <c r="O1136" i="1" a="1"/>
  <c r="O1137" i="1" a="1"/>
  <c r="O1138" i="1" a="1"/>
  <c r="O1139" i="1" a="1"/>
  <c r="O1140" i="1" a="1"/>
  <c r="O1141" i="1" a="1"/>
  <c r="O1142" i="1" a="1"/>
  <c r="O1143" i="1" a="1"/>
  <c r="O1144" i="1" a="1"/>
  <c r="O1145" i="1" a="1"/>
  <c r="O1146" i="1" a="1"/>
  <c r="O1147" i="1" a="1"/>
  <c r="O1148" i="1" a="1"/>
  <c r="O1149" i="1" a="1"/>
  <c r="O1150" i="1" a="1"/>
  <c r="O1151" i="1" a="1"/>
  <c r="O1152" i="1" a="1"/>
  <c r="O1153" i="1" a="1"/>
  <c r="O1154" i="1" a="1"/>
  <c r="O1155" i="1" a="1"/>
  <c r="O1156" i="1" a="1"/>
  <c r="O1157" i="1" a="1"/>
  <c r="O1158" i="1" a="1"/>
  <c r="O1159" i="1" a="1"/>
  <c r="O1160" i="1" a="1"/>
  <c r="O1161" i="1" a="1"/>
  <c r="O1162" i="1" a="1"/>
  <c r="O1163" i="1" a="1"/>
  <c r="O1164" i="1" a="1"/>
  <c r="O1165" i="1" a="1"/>
  <c r="O1166" i="1" a="1"/>
  <c r="O1167" i="1" a="1"/>
  <c r="O1168" i="1" a="1"/>
  <c r="O1169" i="1" a="1"/>
  <c r="O1170" i="1" a="1"/>
  <c r="O1171" i="1" a="1"/>
  <c r="O1172" i="1" a="1"/>
  <c r="O1173" i="1" a="1"/>
  <c r="O1174" i="1" a="1"/>
  <c r="O1175" i="1" a="1"/>
  <c r="O1176" i="1" a="1"/>
  <c r="O1177" i="1" a="1"/>
  <c r="O1178" i="1" a="1"/>
  <c r="O1179" i="1" a="1"/>
  <c r="O1180" i="1" a="1"/>
  <c r="O1181" i="1" a="1"/>
  <c r="O1182" i="1" a="1"/>
  <c r="O1183" i="1" a="1"/>
  <c r="O1184" i="1" a="1"/>
  <c r="O1185" i="1" a="1"/>
  <c r="O1186" i="1" a="1"/>
  <c r="O1187" i="1" a="1"/>
  <c r="O1188" i="1" a="1"/>
  <c r="O1189" i="1" a="1"/>
  <c r="O1190" i="1" a="1"/>
  <c r="O1191" i="1" a="1"/>
  <c r="O1192" i="1" a="1"/>
  <c r="O1193" i="1" a="1"/>
  <c r="O1194" i="1" a="1"/>
  <c r="O1195" i="1" a="1"/>
  <c r="O1196" i="1" a="1"/>
  <c r="O1197" i="1" a="1"/>
  <c r="O1198" i="1" a="1"/>
  <c r="O1199" i="1" a="1"/>
  <c r="O1200" i="1" a="1"/>
  <c r="O1201" i="1" a="1"/>
  <c r="O1202" i="1" a="1"/>
  <c r="O1203" i="1" a="1"/>
  <c r="O1204" i="1" a="1"/>
  <c r="O1205" i="1" a="1"/>
  <c r="O1206" i="1" a="1"/>
  <c r="O1207" i="1" a="1"/>
  <c r="O1208" i="1" a="1"/>
  <c r="O1209" i="1" a="1"/>
  <c r="O1210" i="1" a="1"/>
  <c r="O1211" i="1" a="1"/>
  <c r="O1212" i="1" a="1"/>
  <c r="O1213" i="1" a="1"/>
  <c r="O1214" i="1" a="1"/>
  <c r="O1215" i="1" a="1"/>
  <c r="O1216" i="1" a="1"/>
  <c r="O1217" i="1" a="1"/>
  <c r="O1218" i="1" a="1"/>
  <c r="O1219" i="1" a="1"/>
  <c r="O1220" i="1" a="1"/>
  <c r="O1221" i="1" a="1"/>
  <c r="O1222" i="1" a="1"/>
  <c r="O1223" i="1" a="1"/>
  <c r="O1224" i="1" a="1"/>
  <c r="O1225" i="1" a="1"/>
  <c r="O1226" i="1" a="1"/>
  <c r="O1227" i="1" a="1"/>
  <c r="O1228" i="1" a="1"/>
  <c r="O1229" i="1" a="1"/>
  <c r="O1230" i="1" a="1"/>
  <c r="O1231" i="1" a="1"/>
  <c r="O1232" i="1" a="1"/>
  <c r="O1233" i="1" a="1"/>
  <c r="O1234" i="1" a="1"/>
  <c r="O1235" i="1" a="1"/>
  <c r="O1236" i="1" a="1"/>
  <c r="O1237" i="1" a="1"/>
  <c r="O1238" i="1" a="1"/>
  <c r="O1239" i="1" a="1"/>
  <c r="O1240" i="1" a="1"/>
  <c r="O1241" i="1" a="1"/>
  <c r="O1242" i="1" a="1"/>
  <c r="O1243" i="1" a="1"/>
  <c r="O1244" i="1" a="1"/>
  <c r="O1245" i="1" a="1"/>
  <c r="O1246" i="1" a="1"/>
  <c r="O1247" i="1" a="1"/>
  <c r="O1248" i="1" a="1"/>
  <c r="O1249" i="1" a="1"/>
  <c r="O1250" i="1" a="1"/>
  <c r="O1251" i="1" a="1"/>
  <c r="O1252" i="1" a="1"/>
  <c r="O1253" i="1" a="1"/>
  <c r="O1254" i="1" a="1"/>
  <c r="O1255" i="1" a="1"/>
  <c r="O1256" i="1" a="1"/>
  <c r="O1257" i="1" a="1"/>
  <c r="O1258" i="1" a="1"/>
  <c r="O1259" i="1" a="1"/>
  <c r="O1260" i="1" a="1"/>
  <c r="O1261" i="1" a="1"/>
  <c r="O1262" i="1" a="1"/>
  <c r="O1263" i="1" a="1"/>
  <c r="O1264" i="1" a="1"/>
  <c r="O1265" i="1" a="1"/>
  <c r="O1266" i="1" a="1"/>
  <c r="O1267" i="1" a="1"/>
  <c r="O1268" i="1" a="1"/>
  <c r="O1269" i="1" a="1"/>
  <c r="O1270" i="1" a="1"/>
  <c r="O1271" i="1" a="1"/>
  <c r="O1272" i="1" a="1"/>
  <c r="O1273" i="1" a="1"/>
  <c r="O1274" i="1" a="1"/>
  <c r="O1275" i="1" a="1"/>
  <c r="O1276" i="1" a="1"/>
  <c r="O1277" i="1" a="1"/>
  <c r="O1278" i="1" a="1"/>
  <c r="O1279" i="1" a="1"/>
  <c r="O1280" i="1" a="1"/>
  <c r="O1281" i="1" a="1"/>
  <c r="O1282" i="1" a="1"/>
  <c r="O1283" i="1" a="1"/>
  <c r="O1284" i="1" a="1"/>
  <c r="O1285" i="1" a="1"/>
  <c r="O1286" i="1" a="1"/>
  <c r="O1287" i="1" a="1"/>
  <c r="O1288" i="1" a="1"/>
  <c r="O1289" i="1" a="1"/>
  <c r="O1290" i="1" a="1"/>
  <c r="O1291" i="1" a="1"/>
  <c r="O1292" i="1" a="1"/>
  <c r="O1293" i="1" a="1"/>
  <c r="O1294" i="1" a="1"/>
  <c r="O1295" i="1" a="1"/>
  <c r="O1296" i="1" a="1"/>
  <c r="O1297" i="1" a="1"/>
  <c r="O1298" i="1" a="1"/>
  <c r="O1299" i="1" a="1"/>
  <c r="O1300" i="1" a="1"/>
  <c r="O1301" i="1" a="1"/>
  <c r="O1302" i="1" a="1"/>
  <c r="O1303" i="1" a="1"/>
  <c r="O1304" i="1" a="1"/>
  <c r="O1305" i="1" a="1"/>
  <c r="O1306" i="1" a="1"/>
  <c r="O1307" i="1" a="1"/>
  <c r="O1308" i="1" a="1"/>
  <c r="O1309" i="1" a="1"/>
  <c r="O1310" i="1" a="1"/>
  <c r="O1311" i="1" a="1"/>
  <c r="O1312" i="1" a="1"/>
  <c r="O1313" i="1" a="1"/>
  <c r="O1314" i="1" a="1"/>
  <c r="O1315" i="1" a="1"/>
  <c r="O1316" i="1" a="1"/>
  <c r="O1317" i="1" a="1"/>
  <c r="O1318" i="1" a="1"/>
  <c r="O1319" i="1" a="1"/>
  <c r="O1320" i="1" a="1"/>
  <c r="O1321" i="1" a="1"/>
  <c r="O1322" i="1" a="1"/>
  <c r="O1323" i="1" a="1"/>
  <c r="O1324" i="1" a="1"/>
  <c r="O1325" i="1" a="1"/>
  <c r="O1326" i="1" a="1"/>
  <c r="O1327" i="1" a="1"/>
  <c r="O1328" i="1" a="1"/>
  <c r="O1329" i="1" a="1"/>
  <c r="O1330" i="1" a="1"/>
  <c r="O1331" i="1" a="1"/>
  <c r="O1332" i="1" a="1"/>
  <c r="O1333" i="1" a="1"/>
  <c r="O1334" i="1" a="1"/>
  <c r="O1335" i="1" a="1"/>
  <c r="O1336" i="1" a="1"/>
  <c r="O1337" i="1" a="1"/>
  <c r="O1338" i="1" a="1"/>
  <c r="O1339" i="1" a="1"/>
  <c r="O1340" i="1" a="1"/>
  <c r="O1341" i="1" a="1"/>
  <c r="O1342" i="1" a="1"/>
  <c r="O1343" i="1" a="1"/>
  <c r="O1344" i="1" a="1"/>
  <c r="O1345" i="1" a="1"/>
  <c r="O1346" i="1" a="1"/>
  <c r="O1347" i="1" a="1"/>
  <c r="O1348" i="1" a="1"/>
  <c r="O1349" i="1" a="1"/>
  <c r="O1350" i="1" a="1"/>
  <c r="O1351" i="1" a="1"/>
  <c r="O1352" i="1" a="1"/>
  <c r="O1353" i="1" a="1"/>
  <c r="O1354" i="1" a="1"/>
  <c r="O1355" i="1" a="1"/>
  <c r="O1356" i="1" a="1"/>
  <c r="O1357" i="1" a="1"/>
  <c r="O1358" i="1" a="1"/>
  <c r="O1359" i="1" a="1"/>
  <c r="O1360" i="1" a="1"/>
  <c r="O1361" i="1" a="1"/>
  <c r="O1362" i="1" a="1"/>
  <c r="O1363" i="1" a="1"/>
  <c r="O1364" i="1" a="1"/>
  <c r="O1365" i="1" a="1"/>
  <c r="O1366" i="1" a="1"/>
  <c r="O1367" i="1" a="1"/>
  <c r="O1368" i="1" a="1"/>
  <c r="O1369" i="1" a="1"/>
  <c r="O1370" i="1" a="1"/>
  <c r="O1371" i="1" a="1"/>
  <c r="O1372" i="1" a="1"/>
  <c r="O1373" i="1" a="1"/>
  <c r="O1374" i="1" a="1"/>
  <c r="O1375" i="1" a="1"/>
  <c r="O1376" i="1" a="1"/>
  <c r="O1377" i="1" a="1"/>
  <c r="O1378" i="1" a="1"/>
  <c r="O1379" i="1" a="1"/>
  <c r="O1380" i="1" a="1"/>
  <c r="O1381" i="1" a="1"/>
  <c r="O1382" i="1" a="1"/>
  <c r="O1383" i="1" a="1"/>
  <c r="O1384" i="1" a="1"/>
  <c r="O1385" i="1" a="1"/>
  <c r="O1386" i="1" a="1"/>
  <c r="O1387" i="1" a="1"/>
  <c r="O1388" i="1" a="1"/>
  <c r="O1389" i="1" a="1"/>
  <c r="O1390" i="1" a="1"/>
  <c r="O1391" i="1" a="1"/>
  <c r="O1392" i="1" a="1"/>
  <c r="O1393" i="1" a="1"/>
  <c r="O1394" i="1" a="1"/>
  <c r="O1395" i="1" a="1"/>
  <c r="O1396" i="1" a="1"/>
  <c r="O1397" i="1" a="1"/>
  <c r="O1398" i="1" a="1"/>
  <c r="O1399" i="1" a="1"/>
  <c r="O1400" i="1" a="1"/>
  <c r="O1401" i="1" a="1"/>
  <c r="O1402" i="1" a="1"/>
  <c r="O1403" i="1" a="1"/>
  <c r="O1404" i="1" a="1"/>
  <c r="O1405" i="1" a="1"/>
  <c r="O1406" i="1" a="1"/>
  <c r="O1407" i="1" a="1"/>
  <c r="O1408" i="1" a="1"/>
  <c r="O1409" i="1" a="1"/>
  <c r="O1410" i="1" a="1"/>
  <c r="O1411" i="1" a="1"/>
  <c r="O1412" i="1" a="1"/>
  <c r="O1413" i="1" a="1"/>
  <c r="O1414" i="1" a="1"/>
  <c r="O1415" i="1" a="1"/>
  <c r="O1416" i="1" a="1"/>
  <c r="O1417" i="1" a="1"/>
  <c r="O1418" i="1" a="1"/>
  <c r="O1419" i="1" a="1"/>
  <c r="O1420" i="1" a="1"/>
  <c r="O1421" i="1" a="1"/>
  <c r="O1422" i="1" a="1"/>
  <c r="O1423" i="1" a="1"/>
  <c r="O1424" i="1" a="1"/>
  <c r="O1425" i="1" a="1"/>
  <c r="O1426" i="1" a="1"/>
  <c r="O1427" i="1" a="1"/>
  <c r="O1428" i="1" a="1"/>
  <c r="O1429" i="1" a="1"/>
  <c r="O1430" i="1" a="1"/>
  <c r="O1431" i="1" a="1"/>
  <c r="O1432" i="1" a="1"/>
  <c r="O1433" i="1" a="1"/>
  <c r="O1434" i="1" a="1"/>
  <c r="O1435" i="1" a="1"/>
  <c r="O1436" i="1" a="1"/>
  <c r="O1437" i="1" a="1"/>
  <c r="O1438" i="1" a="1"/>
  <c r="O1439" i="1" a="1"/>
  <c r="O1440" i="1" a="1"/>
  <c r="O1441" i="1" a="1"/>
  <c r="O1442" i="1" a="1"/>
  <c r="O1443" i="1" a="1"/>
  <c r="O1444" i="1" a="1"/>
  <c r="O1445" i="1" a="1"/>
  <c r="O1446" i="1" a="1"/>
  <c r="O1447" i="1" a="1"/>
  <c r="O1448" i="1" a="1"/>
  <c r="O1449" i="1" a="1"/>
  <c r="O1450" i="1" a="1"/>
  <c r="O1451" i="1" a="1"/>
  <c r="O1452" i="1" a="1"/>
  <c r="O1453" i="1" a="1"/>
  <c r="O1454" i="1" a="1"/>
  <c r="O1455" i="1" a="1"/>
  <c r="O1456" i="1" a="1"/>
  <c r="O1457" i="1" a="1"/>
  <c r="O1458" i="1" a="1"/>
  <c r="O1459" i="1" a="1"/>
  <c r="O1460" i="1" a="1"/>
  <c r="O1461" i="1" a="1"/>
  <c r="O1462" i="1" a="1"/>
  <c r="O1463" i="1" a="1"/>
  <c r="O1464" i="1" a="1"/>
  <c r="O1465" i="1" a="1"/>
  <c r="O1466" i="1" a="1"/>
  <c r="O1467" i="1" a="1"/>
  <c r="O1468" i="1" a="1"/>
  <c r="O1469" i="1" a="1"/>
  <c r="O1470" i="1" a="1"/>
  <c r="O1471" i="1" a="1"/>
  <c r="O1472" i="1" a="1"/>
  <c r="O1473" i="1" a="1"/>
  <c r="O1474" i="1" a="1"/>
  <c r="O1475" i="1" a="1"/>
  <c r="O1476" i="1" a="1"/>
  <c r="O1477" i="1" a="1"/>
  <c r="O1478" i="1" a="1"/>
  <c r="O1479" i="1" a="1"/>
  <c r="O1480" i="1" a="1"/>
  <c r="O1481" i="1" a="1"/>
  <c r="O1482" i="1" a="1"/>
  <c r="O1483" i="1" a="1"/>
  <c r="O1484" i="1" a="1"/>
  <c r="O1485" i="1" a="1"/>
  <c r="O1486" i="1" a="1"/>
  <c r="O1487" i="1" a="1"/>
  <c r="O1488" i="1" a="1"/>
  <c r="O1489" i="1" a="1"/>
  <c r="O1490" i="1" a="1"/>
  <c r="O1491" i="1" a="1"/>
  <c r="O1492" i="1" a="1"/>
  <c r="O1493" i="1" a="1"/>
  <c r="O1494" i="1" a="1"/>
  <c r="O1495" i="1" a="1"/>
  <c r="O1496" i="1" a="1"/>
  <c r="O1497" i="1" a="1"/>
  <c r="O1498" i="1" a="1"/>
  <c r="O1499" i="1" a="1"/>
  <c r="O1500" i="1" a="1"/>
  <c r="O1501" i="1" a="1"/>
  <c r="O1502" i="1" a="1"/>
  <c r="O1503" i="1" a="1"/>
  <c r="O1504" i="1" a="1"/>
  <c r="O1505" i="1" a="1"/>
  <c r="O1506" i="1" a="1"/>
  <c r="O1507" i="1" a="1"/>
  <c r="O1508" i="1" a="1"/>
  <c r="O1509" i="1" a="1"/>
  <c r="O1510" i="1" a="1"/>
  <c r="O1511" i="1" a="1"/>
  <c r="O1512" i="1" a="1"/>
  <c r="O1513" i="1" a="1"/>
  <c r="O1514" i="1" a="1"/>
  <c r="O1515" i="1" a="1"/>
  <c r="O1516" i="1" a="1"/>
  <c r="O1517" i="1" a="1"/>
  <c r="O1518" i="1" a="1"/>
  <c r="O1519" i="1" a="1"/>
  <c r="O1520" i="1" a="1"/>
  <c r="O1521" i="1" a="1"/>
  <c r="O1522" i="1" a="1"/>
  <c r="O1523" i="1" a="1"/>
  <c r="O1524" i="1" a="1"/>
  <c r="O1525" i="1" a="1"/>
  <c r="O1526" i="1" a="1"/>
  <c r="O1527" i="1" a="1"/>
  <c r="O1528" i="1" a="1"/>
  <c r="O1529" i="1" a="1"/>
  <c r="O1530" i="1" a="1"/>
  <c r="O1531" i="1" a="1"/>
  <c r="O1532" i="1" a="1"/>
  <c r="O1533" i="1" a="1"/>
  <c r="O1534" i="1" a="1"/>
  <c r="O1535" i="1" a="1"/>
  <c r="O1536" i="1" a="1"/>
  <c r="O1537" i="1" a="1"/>
  <c r="O1538" i="1" a="1"/>
  <c r="O1539" i="1" a="1"/>
  <c r="O1540" i="1" a="1"/>
  <c r="O1541" i="1" a="1"/>
  <c r="O1542" i="1" a="1"/>
  <c r="O1543" i="1" a="1"/>
  <c r="O1544" i="1" a="1"/>
  <c r="O1545" i="1" a="1"/>
  <c r="O1546" i="1" a="1"/>
  <c r="O1547" i="1" a="1"/>
  <c r="O1548" i="1" a="1"/>
  <c r="O1549" i="1" a="1"/>
  <c r="O1550" i="1" a="1"/>
  <c r="O1551" i="1" a="1"/>
  <c r="O1552" i="1" a="1"/>
  <c r="O1553" i="1" a="1"/>
  <c r="O1554" i="1" a="1"/>
  <c r="O1555" i="1" a="1"/>
  <c r="O1556" i="1" a="1"/>
  <c r="O1557" i="1" a="1"/>
  <c r="O1558" i="1" a="1"/>
  <c r="O1559" i="1" a="1"/>
  <c r="O1560" i="1" a="1"/>
  <c r="O1561" i="1" a="1"/>
  <c r="O1562" i="1" a="1"/>
  <c r="O1563" i="1" a="1"/>
  <c r="O1564" i="1" a="1"/>
  <c r="O1565" i="1" a="1"/>
  <c r="O1566" i="1" a="1"/>
  <c r="O1567" i="1" a="1"/>
  <c r="O1568" i="1" a="1"/>
  <c r="O1569" i="1" a="1"/>
  <c r="O1570" i="1" a="1"/>
  <c r="O1571" i="1" a="1"/>
  <c r="O1572" i="1" a="1"/>
  <c r="O1573" i="1" a="1"/>
  <c r="O1574" i="1" a="1"/>
  <c r="O1575" i="1" a="1"/>
  <c r="O1576" i="1" a="1"/>
  <c r="O1577" i="1" a="1"/>
  <c r="O1578" i="1" a="1"/>
  <c r="O1579" i="1" a="1"/>
  <c r="O1580" i="1" a="1"/>
  <c r="O1581" i="1" a="1"/>
  <c r="O1582" i="1" a="1"/>
  <c r="O1583" i="1" a="1"/>
  <c r="O1584" i="1" a="1"/>
  <c r="O1585" i="1" a="1"/>
  <c r="O1586" i="1" a="1"/>
  <c r="O1587" i="1" a="1"/>
  <c r="O1588" i="1" a="1"/>
  <c r="O1589" i="1" a="1"/>
  <c r="O1590" i="1" a="1"/>
  <c r="O1591" i="1" a="1"/>
  <c r="O1592" i="1" a="1"/>
  <c r="O1593" i="1" a="1"/>
  <c r="O1594" i="1" a="1"/>
  <c r="O1595" i="1" a="1"/>
  <c r="O1596" i="1" a="1"/>
  <c r="O1597" i="1" a="1"/>
  <c r="O1598" i="1" a="1"/>
  <c r="O1599" i="1" a="1"/>
  <c r="O1600" i="1" a="1"/>
  <c r="O1601" i="1" a="1"/>
  <c r="O1602" i="1" a="1"/>
  <c r="O1603" i="1" a="1"/>
  <c r="O1604" i="1" a="1"/>
  <c r="O1605" i="1" a="1"/>
  <c r="O1606" i="1" a="1"/>
  <c r="O1607" i="1" a="1"/>
  <c r="O1608" i="1" a="1"/>
  <c r="O1609" i="1" a="1"/>
  <c r="O1610" i="1" a="1"/>
  <c r="O1611" i="1" a="1"/>
  <c r="O1612" i="1" a="1"/>
  <c r="O1613" i="1" a="1"/>
  <c r="O1614" i="1" a="1"/>
  <c r="O1615" i="1" a="1"/>
  <c r="O1616" i="1" a="1"/>
  <c r="O1617" i="1" a="1"/>
  <c r="O1618" i="1" a="1"/>
  <c r="O1619" i="1" a="1"/>
  <c r="O1620" i="1" a="1"/>
  <c r="O1621" i="1" a="1"/>
  <c r="O1622" i="1" a="1"/>
  <c r="O1623" i="1" a="1"/>
  <c r="O1624" i="1" a="1"/>
  <c r="O1625" i="1" a="1"/>
  <c r="O1626" i="1" a="1"/>
  <c r="O1627" i="1" a="1"/>
  <c r="O1628" i="1" a="1"/>
  <c r="O1629" i="1" a="1"/>
  <c r="O1630" i="1" a="1"/>
  <c r="O1631" i="1" a="1"/>
  <c r="O1632" i="1" a="1"/>
  <c r="O1633" i="1" a="1"/>
  <c r="O1634" i="1" a="1"/>
  <c r="O1635" i="1" a="1"/>
  <c r="O1636" i="1" a="1"/>
  <c r="O1637" i="1" a="1"/>
  <c r="O1638" i="1" a="1"/>
  <c r="O1639" i="1" a="1"/>
  <c r="O1640" i="1" a="1"/>
  <c r="O1641" i="1" a="1"/>
  <c r="O1642" i="1" a="1"/>
  <c r="O1643" i="1" a="1"/>
  <c r="O1644" i="1" a="1"/>
  <c r="O1645" i="1" a="1"/>
  <c r="O1646" i="1" a="1"/>
  <c r="O1647" i="1" a="1"/>
  <c r="O1648" i="1" a="1"/>
  <c r="O1649" i="1" a="1"/>
  <c r="O1650" i="1" a="1"/>
  <c r="O1651" i="1" a="1"/>
  <c r="O1652" i="1" a="1"/>
  <c r="O1653" i="1" a="1"/>
  <c r="O1654" i="1" a="1"/>
  <c r="O1655" i="1" a="1"/>
  <c r="O1656" i="1" a="1"/>
  <c r="O1657" i="1" a="1"/>
  <c r="O1658" i="1" a="1"/>
  <c r="O1659" i="1" a="1"/>
  <c r="O1660" i="1" a="1"/>
  <c r="O1661" i="1" a="1"/>
  <c r="O1662" i="1" a="1"/>
  <c r="O1663" i="1" a="1"/>
  <c r="O1664" i="1" a="1"/>
  <c r="O1665" i="1" a="1"/>
  <c r="O1666" i="1" a="1"/>
  <c r="O1667" i="1" a="1"/>
  <c r="O1668" i="1" a="1"/>
  <c r="O1669" i="1" a="1"/>
  <c r="O1670" i="1" a="1"/>
  <c r="O1671" i="1" a="1"/>
  <c r="O1672" i="1" a="1"/>
  <c r="O1673" i="1" a="1"/>
  <c r="O1674" i="1" a="1"/>
  <c r="O1675" i="1" a="1"/>
  <c r="O1676" i="1" a="1"/>
  <c r="O1677" i="1" a="1"/>
  <c r="O1678" i="1" a="1"/>
  <c r="O1679" i="1" a="1"/>
  <c r="O1680" i="1" a="1"/>
  <c r="O1681" i="1" a="1"/>
  <c r="O1682" i="1" a="1"/>
  <c r="O1683" i="1" a="1"/>
  <c r="O1684" i="1" a="1"/>
  <c r="O1685" i="1" a="1"/>
  <c r="O1686" i="1" a="1"/>
  <c r="O1687" i="1" a="1"/>
  <c r="O1688" i="1" a="1"/>
  <c r="O1689" i="1" a="1"/>
  <c r="O1690" i="1" a="1"/>
  <c r="O1691" i="1" a="1"/>
  <c r="O1692" i="1" a="1"/>
  <c r="O1693" i="1" a="1"/>
  <c r="O1694" i="1" a="1"/>
  <c r="O1695" i="1" a="1"/>
  <c r="O1696" i="1" a="1"/>
  <c r="O1697" i="1" a="1"/>
  <c r="O1698" i="1" a="1"/>
  <c r="O1699" i="1" a="1"/>
  <c r="O1700" i="1" a="1"/>
  <c r="O1701" i="1" a="1"/>
  <c r="O1702" i="1" a="1"/>
  <c r="O1703" i="1" a="1"/>
  <c r="O1704" i="1" a="1"/>
  <c r="O1705" i="1" a="1"/>
  <c r="O1706" i="1" a="1"/>
  <c r="O1707" i="1" a="1"/>
  <c r="O1708" i="1" a="1"/>
  <c r="O1709" i="1" a="1"/>
  <c r="O1710" i="1" a="1"/>
  <c r="O1711" i="1" a="1"/>
  <c r="O1712" i="1" a="1"/>
  <c r="O1713" i="1" a="1"/>
  <c r="O1714" i="1" a="1"/>
  <c r="O1715" i="1" a="1"/>
  <c r="O1716" i="1" a="1"/>
  <c r="O1717" i="1" a="1"/>
  <c r="O1718" i="1" a="1"/>
  <c r="O1719" i="1" a="1"/>
  <c r="O1720" i="1" a="1"/>
  <c r="O1721" i="1" a="1"/>
  <c r="O1722" i="1" a="1"/>
  <c r="O1723" i="1" a="1"/>
  <c r="O1724" i="1" a="1"/>
  <c r="O1725" i="1" a="1"/>
  <c r="O1726" i="1" a="1"/>
  <c r="O1727" i="1" a="1"/>
  <c r="O1728" i="1" a="1"/>
  <c r="O1729" i="1" a="1"/>
  <c r="O1730" i="1" a="1"/>
  <c r="O1731" i="1" a="1"/>
  <c r="O1732" i="1" a="1"/>
  <c r="O1733" i="1" a="1"/>
  <c r="O1734" i="1" a="1"/>
  <c r="O1735" i="1" a="1"/>
  <c r="O1736" i="1" a="1"/>
  <c r="O1737" i="1" a="1"/>
  <c r="O1738" i="1" a="1"/>
  <c r="O1739" i="1" a="1"/>
  <c r="O1740" i="1" a="1"/>
  <c r="O1741" i="1" a="1"/>
  <c r="O1742" i="1" a="1"/>
  <c r="O1743" i="1" a="1"/>
  <c r="O1744" i="1" a="1"/>
  <c r="O1745" i="1" a="1"/>
  <c r="O1746" i="1" a="1"/>
  <c r="O1747" i="1" a="1"/>
  <c r="O1748" i="1" a="1"/>
  <c r="O1749" i="1" a="1"/>
  <c r="O1750" i="1" a="1"/>
  <c r="O1751" i="1" a="1"/>
  <c r="O1752" i="1" a="1"/>
  <c r="O1753" i="1" a="1"/>
  <c r="O1754" i="1" a="1"/>
  <c r="O1755" i="1" a="1"/>
  <c r="O1756" i="1" a="1"/>
  <c r="O1757" i="1" a="1"/>
  <c r="O1758" i="1" a="1"/>
  <c r="O1759" i="1" a="1"/>
  <c r="O1760" i="1" a="1"/>
  <c r="O1761" i="1" a="1"/>
  <c r="O1762" i="1" a="1"/>
  <c r="O1763" i="1" a="1"/>
  <c r="O1764" i="1" a="1"/>
  <c r="O1765" i="1" a="1"/>
  <c r="O1766" i="1" a="1"/>
  <c r="O1767" i="1" a="1"/>
  <c r="O1768" i="1" a="1"/>
  <c r="O1769" i="1" a="1"/>
  <c r="O1770" i="1" a="1"/>
  <c r="O1771" i="1" a="1"/>
  <c r="O1772" i="1" a="1"/>
  <c r="O1773" i="1" a="1"/>
  <c r="O1774" i="1" a="1"/>
  <c r="O1775" i="1" a="1"/>
  <c r="O1776" i="1" a="1"/>
  <c r="O1777" i="1" a="1"/>
  <c r="O1778" i="1" a="1"/>
  <c r="O1779" i="1" a="1"/>
  <c r="O1780" i="1" a="1"/>
  <c r="O1781" i="1" a="1"/>
  <c r="O1782" i="1" a="1"/>
  <c r="O1783" i="1" a="1"/>
  <c r="O1784" i="1" a="1"/>
  <c r="O1785" i="1" a="1"/>
  <c r="O1786" i="1" a="1"/>
  <c r="O1787" i="1" a="1"/>
  <c r="O1788" i="1" a="1"/>
  <c r="O1789" i="1" a="1"/>
  <c r="O1790" i="1" a="1"/>
  <c r="O1791" i="1" a="1"/>
  <c r="O1792" i="1" a="1"/>
  <c r="O1793" i="1" a="1"/>
  <c r="O1794" i="1" a="1"/>
  <c r="O1795" i="1" a="1"/>
  <c r="O1796" i="1" a="1"/>
  <c r="O1797" i="1" a="1"/>
  <c r="O1798" i="1" a="1"/>
  <c r="O1799" i="1" a="1"/>
  <c r="O1800" i="1" a="1"/>
  <c r="O1801" i="1" a="1"/>
  <c r="O1802" i="1" a="1"/>
  <c r="O1803" i="1" a="1"/>
  <c r="O1804" i="1" a="1"/>
  <c r="O1805" i="1" a="1"/>
  <c r="O1806" i="1" a="1"/>
  <c r="O1807" i="1" a="1"/>
  <c r="O1808" i="1" a="1"/>
  <c r="O1809" i="1" a="1"/>
  <c r="O1810" i="1" a="1"/>
  <c r="O1811" i="1" a="1"/>
  <c r="O1812" i="1" a="1"/>
  <c r="O1813" i="1" a="1"/>
  <c r="O1814" i="1" a="1"/>
  <c r="O1815" i="1" a="1"/>
  <c r="O1816" i="1" a="1"/>
  <c r="O1817" i="1" a="1"/>
  <c r="O1818" i="1" a="1"/>
  <c r="O1819" i="1" a="1"/>
  <c r="O1820" i="1" a="1"/>
  <c r="O1821" i="1" a="1"/>
  <c r="O1822" i="1" a="1"/>
  <c r="O1823" i="1" a="1"/>
  <c r="O1824" i="1" a="1"/>
  <c r="O1825" i="1" a="1"/>
  <c r="O1826" i="1" a="1"/>
  <c r="O1827" i="1" a="1"/>
  <c r="O1828" i="1" a="1"/>
  <c r="O1829" i="1" a="1"/>
  <c r="O1830" i="1" a="1"/>
  <c r="O1831" i="1" a="1"/>
  <c r="O1832" i="1" a="1"/>
  <c r="O1833" i="1" a="1"/>
  <c r="O1834" i="1" a="1"/>
  <c r="O1835" i="1" a="1"/>
  <c r="O1836" i="1" a="1"/>
  <c r="O1837" i="1" a="1"/>
  <c r="O1838" i="1" a="1"/>
  <c r="O1839" i="1" a="1"/>
  <c r="O1840" i="1" a="1"/>
  <c r="O1841" i="1" a="1"/>
  <c r="O1842" i="1" a="1"/>
  <c r="O1843" i="1" a="1"/>
  <c r="O1844" i="1" a="1"/>
  <c r="O1845" i="1" a="1"/>
  <c r="O1846" i="1" a="1"/>
  <c r="O1847" i="1" a="1"/>
  <c r="O1848" i="1" a="1"/>
  <c r="O1849" i="1" a="1"/>
  <c r="O1850" i="1" a="1"/>
  <c r="O1851" i="1" a="1"/>
  <c r="O1852" i="1" a="1"/>
  <c r="O1853" i="1" a="1"/>
  <c r="O1854" i="1" a="1"/>
  <c r="O1855" i="1" a="1"/>
  <c r="O1856" i="1" a="1"/>
  <c r="O1857" i="1" a="1"/>
  <c r="O1858" i="1" a="1"/>
  <c r="O1859" i="1" a="1"/>
  <c r="O1860" i="1" a="1"/>
  <c r="O1861" i="1" a="1"/>
  <c r="O1862" i="1" a="1"/>
  <c r="O1863" i="1" a="1"/>
  <c r="O1864" i="1" a="1"/>
  <c r="O1865" i="1" a="1"/>
  <c r="O1866" i="1" a="1"/>
  <c r="O1867" i="1" a="1"/>
  <c r="O1868" i="1" a="1"/>
  <c r="O1869" i="1" a="1"/>
  <c r="O1870" i="1" a="1"/>
  <c r="O1871" i="1" a="1"/>
  <c r="O1872" i="1" a="1"/>
  <c r="O1873" i="1" a="1"/>
  <c r="O1874" i="1" a="1"/>
  <c r="O1875" i="1" a="1"/>
  <c r="O1876" i="1" a="1"/>
  <c r="O1877" i="1" a="1"/>
  <c r="O1878" i="1" a="1"/>
  <c r="O1879" i="1" a="1"/>
  <c r="O1880" i="1" a="1"/>
  <c r="O1881" i="1" a="1"/>
  <c r="O1882" i="1" a="1"/>
  <c r="O1883" i="1" a="1"/>
  <c r="O1884" i="1" a="1"/>
  <c r="O1885" i="1" a="1"/>
  <c r="O1886" i="1" a="1"/>
  <c r="O1887" i="1" a="1"/>
  <c r="O1888" i="1" a="1"/>
  <c r="O1889" i="1" a="1"/>
  <c r="O1890" i="1" a="1"/>
  <c r="O1891" i="1" a="1"/>
  <c r="O1892" i="1" a="1"/>
  <c r="O1893" i="1" a="1"/>
  <c r="O1894" i="1" a="1"/>
  <c r="O1895" i="1" a="1"/>
  <c r="O1896" i="1" a="1"/>
  <c r="O1897" i="1" a="1"/>
  <c r="O1898" i="1" a="1"/>
  <c r="O1899" i="1" a="1"/>
  <c r="O1900" i="1" a="1"/>
  <c r="O1901" i="1" a="1"/>
  <c r="O1902" i="1" a="1"/>
  <c r="O1903" i="1" a="1"/>
  <c r="O1904" i="1" a="1"/>
  <c r="O1905" i="1" a="1"/>
  <c r="O1906" i="1" a="1"/>
  <c r="O1907" i="1" a="1"/>
  <c r="O1908" i="1" a="1"/>
  <c r="O1909" i="1" a="1"/>
  <c r="O1910" i="1" a="1"/>
  <c r="O1911" i="1" a="1"/>
  <c r="O1912" i="1" a="1"/>
  <c r="O1913" i="1" a="1"/>
  <c r="O1914" i="1" a="1"/>
  <c r="O1915" i="1" a="1"/>
  <c r="O1916" i="1" a="1"/>
  <c r="O1917" i="1" a="1"/>
  <c r="O1918" i="1" a="1"/>
  <c r="O1919" i="1" a="1"/>
  <c r="O1920" i="1" a="1"/>
  <c r="O1921" i="1" a="1"/>
  <c r="O1922" i="1" a="1"/>
  <c r="O1923" i="1" a="1"/>
  <c r="O1924" i="1" a="1"/>
  <c r="O1925" i="1" a="1"/>
  <c r="O1926" i="1" a="1"/>
  <c r="O1927" i="1" a="1"/>
  <c r="O1928" i="1" a="1"/>
  <c r="O1929" i="1" a="1"/>
  <c r="O1930" i="1" a="1"/>
  <c r="O1931" i="1" a="1"/>
  <c r="O1932" i="1" a="1"/>
  <c r="O1933" i="1" a="1"/>
  <c r="O1934" i="1" a="1"/>
  <c r="O1935" i="1" a="1"/>
  <c r="O1936" i="1" a="1"/>
  <c r="O1937" i="1" a="1"/>
  <c r="O1938" i="1" a="1"/>
  <c r="O1939" i="1" a="1"/>
  <c r="O1940" i="1" a="1"/>
  <c r="O1941" i="1" a="1"/>
  <c r="O1942" i="1" a="1"/>
  <c r="O1943" i="1" a="1"/>
  <c r="O1944" i="1" a="1"/>
  <c r="O1945" i="1" a="1"/>
  <c r="O1946" i="1" a="1"/>
  <c r="O1947" i="1" a="1"/>
  <c r="O1948" i="1" a="1"/>
  <c r="O1949" i="1" a="1"/>
  <c r="O1950" i="1" a="1"/>
  <c r="O1951" i="1" a="1"/>
  <c r="O1952" i="1" a="1"/>
  <c r="O1953" i="1" a="1"/>
  <c r="O1954" i="1" a="1"/>
  <c r="O1955" i="1" a="1"/>
  <c r="O1956" i="1" a="1"/>
  <c r="O1957" i="1" a="1"/>
  <c r="O1958" i="1" a="1"/>
  <c r="O1959" i="1" a="1"/>
  <c r="O1960" i="1" a="1"/>
  <c r="O1961" i="1" a="1"/>
  <c r="O1962" i="1" a="1"/>
  <c r="O1963" i="1" a="1"/>
  <c r="O1964" i="1" a="1"/>
  <c r="O1965" i="1" a="1"/>
  <c r="O1966" i="1" a="1"/>
  <c r="O1967" i="1" a="1"/>
  <c r="O1968" i="1" a="1"/>
  <c r="O1969" i="1" a="1"/>
  <c r="O1970" i="1" a="1"/>
  <c r="O1971" i="1" a="1"/>
  <c r="O1972" i="1" a="1"/>
  <c r="O1973" i="1" a="1"/>
  <c r="O1974" i="1" a="1"/>
  <c r="O1975" i="1" a="1"/>
  <c r="O1976" i="1" a="1"/>
  <c r="O1977" i="1" a="1"/>
  <c r="O1978" i="1" a="1"/>
  <c r="O1979" i="1" a="1"/>
  <c r="O1980" i="1" a="1"/>
  <c r="O1981" i="1" a="1"/>
  <c r="O1982" i="1" a="1"/>
  <c r="O1983" i="1" a="1"/>
  <c r="O1984" i="1" a="1"/>
  <c r="O1985" i="1" a="1"/>
  <c r="O1986" i="1" a="1"/>
  <c r="O1987" i="1" a="1"/>
  <c r="O1988" i="1" a="1"/>
  <c r="O1989" i="1" a="1"/>
  <c r="O1990" i="1" a="1"/>
  <c r="O1991" i="1" a="1"/>
  <c r="O1992" i="1" a="1"/>
  <c r="O1993" i="1" a="1"/>
  <c r="O1994" i="1" a="1"/>
  <c r="O1995" i="1" a="1"/>
  <c r="O1996" i="1" a="1"/>
  <c r="O1997" i="1" a="1"/>
  <c r="O1998" i="1" a="1"/>
  <c r="O1999" i="1" a="1"/>
  <c r="O2000" i="1" a="1"/>
  <c r="O2001" i="1" a="1"/>
  <c r="O2002" i="1" a="1"/>
  <c r="O2003" i="1" a="1"/>
  <c r="O2004" i="1" a="1"/>
  <c r="O2005" i="1" a="1"/>
  <c r="O2006" i="1" a="1"/>
  <c r="O2007" i="1" a="1"/>
  <c r="O2008" i="1" a="1"/>
  <c r="O2009" i="1" a="1"/>
  <c r="O2010" i="1" a="1"/>
  <c r="O2011" i="1" a="1"/>
  <c r="O2012" i="1" a="1"/>
  <c r="O2013" i="1" a="1"/>
  <c r="O2014" i="1" a="1"/>
  <c r="O2015" i="1" a="1"/>
  <c r="O2016" i="1" a="1"/>
  <c r="O2017" i="1" a="1"/>
  <c r="O2018" i="1" a="1"/>
  <c r="O2019" i="1" a="1"/>
  <c r="O2020" i="1" a="1"/>
  <c r="O2021" i="1" a="1"/>
  <c r="O2022" i="1" a="1"/>
  <c r="O2023" i="1" a="1"/>
  <c r="O2024" i="1" a="1"/>
  <c r="O2025" i="1" a="1"/>
  <c r="O2026" i="1" a="1"/>
  <c r="O2027" i="1" a="1"/>
  <c r="O2028" i="1" a="1"/>
  <c r="O2029" i="1" a="1"/>
  <c r="O2030" i="1" a="1"/>
  <c r="O2031" i="1" a="1"/>
  <c r="O2032" i="1" a="1"/>
  <c r="O2033" i="1" a="1"/>
  <c r="O2034" i="1" a="1"/>
  <c r="O2035" i="1" a="1"/>
  <c r="O2036" i="1" a="1"/>
  <c r="O2037" i="1" a="1"/>
  <c r="O2038" i="1" a="1"/>
  <c r="O2039" i="1" a="1"/>
  <c r="O2040" i="1" a="1"/>
  <c r="O2041" i="1" a="1"/>
  <c r="O2042" i="1" a="1"/>
  <c r="O2043" i="1" a="1"/>
  <c r="O2044" i="1" a="1"/>
  <c r="O2045" i="1" a="1"/>
  <c r="O2046" i="1" a="1"/>
  <c r="O2047" i="1" a="1"/>
  <c r="O2048" i="1" a="1"/>
  <c r="O2049" i="1" a="1"/>
  <c r="O2050" i="1" a="1"/>
  <c r="O2051" i="1" a="1"/>
  <c r="O2052" i="1" a="1"/>
  <c r="O2053" i="1" a="1"/>
  <c r="O2054" i="1" a="1"/>
  <c r="O2055" i="1" a="1"/>
  <c r="O2056" i="1" a="1"/>
  <c r="O2057" i="1" a="1"/>
  <c r="O2058" i="1" a="1"/>
  <c r="O2059" i="1" a="1"/>
  <c r="O2060" i="1" a="1"/>
  <c r="O2061" i="1" a="1"/>
  <c r="O2062" i="1" a="1"/>
  <c r="O2063" i="1" a="1"/>
  <c r="O2064" i="1" a="1"/>
  <c r="O2065" i="1" a="1"/>
  <c r="O2066" i="1" a="1"/>
  <c r="O2067" i="1" a="1"/>
  <c r="O2068" i="1" a="1"/>
  <c r="O2069" i="1" a="1"/>
  <c r="O2070" i="1" a="1"/>
  <c r="O2071" i="1" a="1"/>
  <c r="O2072" i="1" a="1"/>
  <c r="O2073" i="1" a="1"/>
  <c r="O2074" i="1" a="1"/>
  <c r="O2075" i="1" a="1"/>
  <c r="O2076" i="1" a="1"/>
  <c r="O2077" i="1" a="1"/>
  <c r="O2078" i="1" a="1"/>
  <c r="O2079" i="1" a="1"/>
  <c r="O2080" i="1" a="1"/>
  <c r="O2081" i="1" a="1"/>
  <c r="O2082" i="1" a="1"/>
  <c r="O2083" i="1" a="1"/>
  <c r="O2084" i="1" a="1"/>
  <c r="O2085" i="1" a="1"/>
  <c r="O2086" i="1" a="1"/>
  <c r="O2087" i="1" a="1"/>
  <c r="O2088" i="1" a="1"/>
  <c r="O2089" i="1" a="1"/>
  <c r="O2090" i="1" a="1"/>
  <c r="O2091" i="1" a="1"/>
  <c r="O2092" i="1" a="1"/>
  <c r="O2093" i="1" a="1"/>
  <c r="O2094" i="1" a="1"/>
  <c r="O2095" i="1" a="1"/>
  <c r="O2096" i="1" a="1"/>
  <c r="O2097" i="1" a="1"/>
  <c r="O2098" i="1" a="1"/>
  <c r="O2099" i="1" a="1"/>
  <c r="O2100" i="1" a="1"/>
  <c r="O2101" i="1" a="1"/>
  <c r="O2102" i="1" a="1"/>
  <c r="O2103" i="1" a="1"/>
  <c r="O2104" i="1" a="1"/>
  <c r="O2105" i="1" a="1"/>
  <c r="O2106" i="1" a="1"/>
  <c r="O2107" i="1" a="1"/>
  <c r="O2108" i="1" a="1"/>
  <c r="O2109" i="1" a="1"/>
  <c r="O2110" i="1" a="1"/>
  <c r="O2111" i="1" a="1"/>
  <c r="O2112" i="1" a="1"/>
  <c r="O2113" i="1" a="1"/>
  <c r="O2114" i="1" a="1"/>
  <c r="O2115" i="1" a="1"/>
  <c r="O2116" i="1" a="1"/>
  <c r="O2117" i="1" a="1"/>
  <c r="O2118" i="1" a="1"/>
  <c r="O2119" i="1" a="1"/>
  <c r="O2120" i="1" a="1"/>
  <c r="O2121" i="1" a="1"/>
  <c r="O2122" i="1" a="1"/>
  <c r="O2123" i="1" a="1"/>
  <c r="O2124" i="1" a="1"/>
  <c r="O2125" i="1" a="1"/>
  <c r="O2126" i="1" a="1"/>
  <c r="O2127" i="1" a="1"/>
  <c r="O2128" i="1" a="1"/>
  <c r="O2129" i="1" a="1"/>
  <c r="O2130" i="1" a="1"/>
  <c r="O2131" i="1" a="1"/>
  <c r="O2132" i="1" a="1"/>
  <c r="O2133" i="1" a="1"/>
  <c r="O2134" i="1" a="1"/>
  <c r="O2135" i="1" a="1"/>
  <c r="O2136" i="1" a="1"/>
  <c r="O2137" i="1" a="1"/>
  <c r="O2138" i="1" a="1"/>
  <c r="O2139" i="1" a="1"/>
  <c r="O2140" i="1" a="1"/>
  <c r="O2141" i="1" a="1"/>
  <c r="O2142" i="1" a="1"/>
  <c r="O2143" i="1" a="1"/>
  <c r="O2144" i="1" a="1"/>
  <c r="O2145" i="1" a="1"/>
  <c r="O2146" i="1" a="1"/>
  <c r="O2147" i="1" a="1"/>
  <c r="O2148" i="1" a="1"/>
  <c r="O2149" i="1" a="1"/>
  <c r="O2150" i="1" a="1"/>
  <c r="O2151" i="1" a="1"/>
  <c r="O2152" i="1" a="1"/>
  <c r="O2153" i="1" a="1"/>
  <c r="O2154" i="1" a="1"/>
  <c r="O2155" i="1" a="1"/>
  <c r="O2156" i="1" a="1"/>
  <c r="O2157" i="1" a="1"/>
  <c r="O2158" i="1" a="1"/>
  <c r="O2159" i="1" a="1"/>
  <c r="O2160" i="1" a="1"/>
  <c r="O2161" i="1" a="1"/>
  <c r="O2162" i="1" a="1"/>
  <c r="O2163" i="1" a="1"/>
  <c r="O2164" i="1" a="1"/>
  <c r="O2165" i="1" a="1"/>
  <c r="O2166" i="1" a="1"/>
  <c r="O2167" i="1" a="1"/>
  <c r="O2168" i="1" a="1"/>
  <c r="O2169" i="1" a="1"/>
  <c r="O2170" i="1" a="1"/>
  <c r="O2171" i="1" a="1"/>
  <c r="O2172" i="1" a="1"/>
  <c r="O2173" i="1" a="1"/>
  <c r="O2174" i="1" a="1"/>
  <c r="O2175" i="1" a="1"/>
  <c r="O2176" i="1" a="1"/>
  <c r="O2177" i="1" a="1"/>
  <c r="O2178" i="1" a="1"/>
  <c r="O2179" i="1" a="1"/>
  <c r="O2180" i="1" a="1"/>
  <c r="O2181" i="1" a="1"/>
  <c r="O2182" i="1" a="1"/>
  <c r="O2183" i="1" a="1"/>
  <c r="O2184" i="1" a="1"/>
  <c r="O2185" i="1" a="1"/>
  <c r="O2186" i="1" a="1"/>
  <c r="O2187" i="1" a="1"/>
  <c r="O2188" i="1" a="1"/>
  <c r="O2189" i="1" a="1"/>
  <c r="O2190" i="1" a="1"/>
  <c r="O2191" i="1" a="1"/>
  <c r="O2192" i="1" a="1"/>
  <c r="O2193" i="1" a="1"/>
  <c r="O2194" i="1" a="1"/>
  <c r="O2195" i="1" a="1"/>
  <c r="O2196" i="1" a="1"/>
  <c r="O2197" i="1" a="1"/>
  <c r="O2198" i="1" a="1"/>
  <c r="O2199" i="1" a="1"/>
  <c r="O2200" i="1" a="1"/>
  <c r="O2201" i="1" a="1"/>
  <c r="O2202" i="1" a="1"/>
  <c r="O2203" i="1" a="1"/>
  <c r="O2204" i="1" a="1"/>
  <c r="O2205" i="1" a="1"/>
  <c r="O2206" i="1" a="1"/>
  <c r="O2207" i="1" a="1"/>
  <c r="O2208" i="1" a="1"/>
  <c r="O2209" i="1" a="1"/>
  <c r="O2210" i="1" a="1"/>
  <c r="O2211" i="1" a="1"/>
  <c r="O2212" i="1" a="1"/>
  <c r="O2213" i="1" a="1"/>
  <c r="O2214" i="1" a="1"/>
  <c r="O2215" i="1" a="1"/>
  <c r="O2216" i="1" a="1"/>
  <c r="O2217" i="1" a="1"/>
  <c r="O2218" i="1" a="1"/>
  <c r="O2219" i="1" a="1"/>
  <c r="O2220" i="1" a="1"/>
  <c r="O2221" i="1" a="1"/>
  <c r="O2222" i="1" a="1"/>
  <c r="O2223" i="1" a="1"/>
  <c r="O2224" i="1" a="1"/>
  <c r="O2225" i="1" a="1"/>
  <c r="O2226" i="1" a="1"/>
  <c r="O2227" i="1" a="1"/>
  <c r="O2228" i="1" a="1"/>
  <c r="O2229" i="1" a="1"/>
  <c r="O2230" i="1" a="1"/>
  <c r="O2231" i="1" a="1"/>
  <c r="O2232" i="1" a="1"/>
  <c r="O2233" i="1" a="1"/>
  <c r="O2234" i="1" a="1"/>
  <c r="O2235" i="1" a="1"/>
  <c r="O2236" i="1" a="1"/>
  <c r="O2237" i="1" a="1"/>
  <c r="O2238" i="1" a="1"/>
  <c r="O2239" i="1" a="1"/>
  <c r="O2240" i="1" a="1"/>
  <c r="O2241" i="1" a="1"/>
  <c r="O2242" i="1" a="1"/>
  <c r="O2243" i="1" a="1"/>
  <c r="O2244" i="1" a="1"/>
  <c r="O2245" i="1" a="1"/>
  <c r="O2246" i="1" a="1"/>
  <c r="O2247" i="1" a="1"/>
  <c r="O2248" i="1" a="1"/>
  <c r="O2249" i="1" a="1"/>
  <c r="O2250" i="1" a="1"/>
  <c r="O2251" i="1" a="1"/>
  <c r="O2252" i="1" a="1"/>
  <c r="O2253" i="1" a="1"/>
  <c r="O2254" i="1" a="1"/>
  <c r="O2255" i="1" a="1"/>
  <c r="O2256" i="1" a="1"/>
  <c r="O2257" i="1" a="1"/>
  <c r="O2258" i="1" a="1"/>
  <c r="O2259" i="1" a="1"/>
  <c r="O2260" i="1" a="1"/>
  <c r="O2261" i="1" a="1"/>
  <c r="O2262" i="1" a="1"/>
  <c r="O2263" i="1" a="1"/>
  <c r="O2264" i="1" a="1"/>
  <c r="O2265" i="1" a="1"/>
  <c r="O2266" i="1" a="1"/>
  <c r="O2267" i="1" a="1"/>
  <c r="O2268" i="1" a="1"/>
  <c r="O2269" i="1" a="1"/>
  <c r="O2270" i="1" a="1"/>
  <c r="O2271" i="1" a="1"/>
  <c r="O2272" i="1" a="1"/>
  <c r="O2273" i="1" a="1"/>
  <c r="O2274" i="1" a="1"/>
  <c r="O2275" i="1" a="1"/>
  <c r="O2276" i="1" a="1"/>
  <c r="O2277" i="1" a="1"/>
  <c r="O2278" i="1" a="1"/>
  <c r="O2279" i="1" a="1"/>
  <c r="O2280" i="1" a="1"/>
  <c r="O2281" i="1" a="1"/>
  <c r="O2282" i="1" a="1"/>
  <c r="O2283" i="1" a="1"/>
  <c r="O2284" i="1" a="1"/>
  <c r="O2285" i="1" a="1"/>
  <c r="O2286" i="1" a="1"/>
  <c r="O2287" i="1" a="1"/>
  <c r="O2288" i="1" a="1"/>
  <c r="O2289" i="1" a="1"/>
  <c r="O2290" i="1" a="1"/>
  <c r="O2291" i="1" a="1"/>
  <c r="O2292" i="1" a="1"/>
  <c r="O2293" i="1" a="1"/>
  <c r="O2294" i="1" a="1"/>
  <c r="O2295" i="1" a="1"/>
  <c r="O2296" i="1" a="1"/>
  <c r="O2297" i="1" a="1"/>
  <c r="O2298" i="1" a="1"/>
  <c r="O2299" i="1" a="1"/>
  <c r="O2300" i="1" a="1"/>
  <c r="O2301" i="1" a="1"/>
  <c r="O2302" i="1" a="1"/>
  <c r="O2303" i="1" a="1"/>
  <c r="O2304" i="1" a="1"/>
  <c r="O2305" i="1" a="1"/>
  <c r="O2306" i="1" a="1"/>
  <c r="O2307" i="1" a="1"/>
  <c r="O2308" i="1" a="1"/>
  <c r="O2309" i="1" a="1"/>
  <c r="O2310" i="1" a="1"/>
  <c r="O2311" i="1" a="1"/>
  <c r="O2312" i="1" a="1"/>
  <c r="O2313" i="1" a="1"/>
  <c r="O2314" i="1" a="1"/>
  <c r="O2315" i="1" a="1"/>
  <c r="O2316" i="1" a="1"/>
  <c r="O2317" i="1" a="1"/>
  <c r="O2318" i="1" a="1"/>
  <c r="O2319" i="1" a="1"/>
  <c r="O2320" i="1" a="1"/>
  <c r="O2321" i="1" a="1"/>
  <c r="O2322" i="1" a="1"/>
  <c r="O2323" i="1" a="1"/>
  <c r="O2324" i="1" a="1"/>
  <c r="O2325" i="1" a="1"/>
  <c r="O2326" i="1" a="1"/>
  <c r="O2327" i="1" a="1"/>
  <c r="O2328" i="1" a="1"/>
  <c r="O2329" i="1" a="1"/>
  <c r="O2330" i="1" a="1"/>
  <c r="O2331" i="1" a="1"/>
  <c r="O2332" i="1" a="1"/>
  <c r="O2333" i="1" a="1"/>
  <c r="O2334" i="1" a="1"/>
  <c r="O2335" i="1" a="1"/>
  <c r="O2336" i="1" a="1"/>
  <c r="O2337" i="1" a="1"/>
  <c r="O2338" i="1" a="1"/>
  <c r="O2339" i="1" a="1"/>
  <c r="O2340" i="1" a="1"/>
  <c r="O2341" i="1" a="1"/>
  <c r="O2342" i="1" a="1"/>
  <c r="O2343" i="1" a="1"/>
  <c r="O2344" i="1" a="1"/>
  <c r="O2345" i="1" a="1"/>
  <c r="O2346" i="1" a="1"/>
  <c r="O2347" i="1" a="1"/>
  <c r="O2348" i="1" a="1"/>
  <c r="O2349" i="1" a="1"/>
  <c r="O2350" i="1" a="1"/>
  <c r="O2351" i="1" a="1"/>
  <c r="O2352" i="1" a="1"/>
  <c r="O2353" i="1" a="1"/>
  <c r="O2354" i="1" a="1"/>
  <c r="O2355" i="1" a="1"/>
  <c r="O2356" i="1" a="1"/>
  <c r="O2357" i="1" a="1"/>
  <c r="O2358" i="1" a="1"/>
  <c r="O2359" i="1" a="1"/>
  <c r="O2360" i="1" a="1"/>
  <c r="O2361" i="1" a="1"/>
  <c r="O2362" i="1" a="1"/>
  <c r="O2363" i="1" a="1"/>
  <c r="O2364" i="1" a="1"/>
  <c r="O2365" i="1" a="1"/>
  <c r="O2366" i="1" a="1"/>
  <c r="O2367" i="1" a="1"/>
  <c r="O2368" i="1" a="1"/>
  <c r="O2369" i="1" a="1"/>
  <c r="O2370" i="1" a="1"/>
  <c r="O2371" i="1" a="1"/>
  <c r="O2372" i="1" a="1"/>
  <c r="O2373" i="1" a="1"/>
  <c r="O2374" i="1" a="1"/>
  <c r="O2375" i="1" a="1"/>
  <c r="O2376" i="1" a="1"/>
  <c r="O2377" i="1" a="1"/>
  <c r="O2378" i="1" a="1"/>
  <c r="O2379" i="1" a="1"/>
  <c r="O2380" i="1" a="1"/>
  <c r="O2381" i="1" a="1"/>
  <c r="O2382" i="1" a="1"/>
  <c r="O2383" i="1" a="1"/>
  <c r="O2384" i="1" a="1"/>
  <c r="O2385" i="1" a="1"/>
  <c r="O2386" i="1" a="1"/>
  <c r="O2387" i="1" a="1"/>
  <c r="O2388" i="1" a="1"/>
  <c r="O2389" i="1" a="1"/>
  <c r="O2390" i="1" a="1"/>
  <c r="O2391" i="1" a="1"/>
  <c r="O2392" i="1" a="1"/>
  <c r="O2393" i="1" a="1"/>
  <c r="O2394" i="1" a="1"/>
  <c r="O2395" i="1" a="1"/>
  <c r="O2396" i="1" a="1"/>
  <c r="O2397" i="1" a="1"/>
  <c r="O2398" i="1" a="1"/>
  <c r="O2399" i="1" a="1"/>
  <c r="O2400" i="1" a="1"/>
  <c r="O2401" i="1" a="1"/>
  <c r="O2" i="1" a="1"/>
  <c r="L3" i="9"/>
  <c r="K3" i="9"/>
  <c r="J3" i="9"/>
  <c r="G3" i="9"/>
  <c r="H3" i="9"/>
  <c r="F3" i="9"/>
  <c r="J5" i="8"/>
  <c r="M5" i="8"/>
  <c r="M6" i="8"/>
  <c r="M7" i="8"/>
  <c r="M8" i="8"/>
  <c r="M9" i="8"/>
  <c r="I9" i="8"/>
  <c r="J9" i="8"/>
  <c r="K9" i="8"/>
  <c r="L9" i="8"/>
  <c r="I6" i="8"/>
  <c r="J6" i="8"/>
  <c r="K6" i="8"/>
  <c r="L6" i="8"/>
  <c r="I7" i="8"/>
  <c r="J7" i="8"/>
  <c r="K7" i="8"/>
  <c r="L7" i="8"/>
  <c r="I8" i="8"/>
  <c r="J8" i="8"/>
  <c r="K8" i="8"/>
  <c r="L8" i="8"/>
  <c r="K5" i="8"/>
  <c r="L5" i="8"/>
  <c r="I5" i="8"/>
  <c r="J9" i="5"/>
  <c r="I9" i="5"/>
  <c r="H9" i="5"/>
  <c r="G9" i="5"/>
  <c r="K9" i="5"/>
  <c r="F9" i="5"/>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<sst xmlns="http://schemas.openxmlformats.org/spreadsheetml/2006/main" count="14642" uniqueCount="2544">
  <si>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</si>
  <si>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</si>
  <si>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</si>
  <si>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</si>
  <si>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</si>
  <si>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</si>
  <si>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</si>
  <si>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</si>
  <si>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</si>
  <si>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</si>
  <si>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</si>
  <si>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</si>
  <si>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</si>
  <si>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</si>
  <si>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</si>
  <si>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</si>
  <si>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</si>
  <si>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</si>
  <si>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</si>
  <si>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</si>
  <si>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</si>
  <si>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</si>
  <si>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</si>
  <si>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</si>
  <si>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</si>
  <si>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</si>
  <si>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</si>
  <si>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</si>
  <si>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</si>
  <si>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</si>
  <si>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</si>
  <si>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</si>
  <si>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</si>
  <si>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</si>
  <si>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</si>
  <si>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</si>
  <si>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</si>
  <si>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</si>
  <si>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</si>
  <si>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</si>
  <si>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</si>
  <si>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</si>
  <si>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</si>
  <si>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</si>
  <si>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</si>
  <si>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</si>
  <si>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</si>
  <si>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</si>
  <si>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</si>
  <si>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</si>
  <si>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</si>
  <si>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</si>
  <si>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</si>
  <si>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</si>
  <si>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</si>
  <si>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</si>
  <si>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</si>
  <si>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</si>
  <si>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</si>
  <si>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</si>
  <si>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</si>
  <si>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</si>
  <si>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</si>
  <si>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</si>
  <si>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</si>
  <si>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</si>
  <si>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</si>
  <si>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</si>
  <si>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</si>
  <si>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</si>
  <si>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</si>
  <si>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</si>
  <si>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</si>
  <si>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</si>
  <si>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</si>
  <si>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</si>
  <si>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</si>
  <si>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</si>
  <si>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</si>
  <si>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</si>
  <si>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</si>
  <si>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</si>
  <si>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</si>
  <si>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</si>
  <si>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</si>
  <si>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</si>
  <si>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</si>
  <si>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</si>
  <si>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</si>
  <si>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</si>
  <si>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</si>
  <si>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</si>
  <si>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</si>
  <si>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</si>
  <si>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</si>
  <si>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</si>
  <si>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</si>
  <si>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</si>
  <si>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</si>
  <si>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</si>
  <si>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</si>
  <si>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</si>
  <si>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</si>
  <si>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</si>
  <si>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</si>
  <si>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</si>
  <si>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</si>
  <si>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</si>
  <si>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</si>
  <si>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</si>
  <si>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</si>
  <si>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</si>
  <si>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</si>
  <si>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</si>
  <si>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</si>
  <si>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</si>
  <si>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</si>
  <si>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</si>
  <si>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</si>
  <si>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</si>
  <si>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</si>
  <si>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</si>
  <si>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</si>
  <si>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</si>
  <si>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</si>
  <si>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</si>
  <si>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</si>
  <si>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</si>
  <si>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</si>
  <si>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</si>
  <si>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</si>
  <si>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</si>
  <si>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</si>
  <si>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</si>
  <si>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</si>
  <si>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</si>
  <si>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</si>
  <si>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</si>
  <si>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</si>
  <si>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</si>
  <si>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</si>
  <si>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</si>
  <si>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</si>
  <si>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</si>
  <si>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</si>
  <si>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</si>
  <si>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</si>
  <si>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</si>
  <si>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</si>
  <si>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</si>
  <si>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</si>
  <si>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</si>
  <si>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</si>
  <si>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</si>
  <si>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</si>
  <si>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</si>
  <si>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</si>
  <si>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</si>
  <si>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</si>
  <si>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</si>
  <si>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</si>
  <si>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</si>
  <si>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</si>
  <si>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</si>
  <si>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</si>
  <si>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</si>
  <si>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</si>
  <si>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</si>
  <si>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</si>
  <si>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</si>
  <si>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</si>
  <si>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</si>
  <si>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</si>
  <si>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</si>
  <si>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</si>
  <si>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</si>
  <si>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</si>
  <si>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</si>
  <si>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</si>
  <si>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</si>
  <si>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</si>
  <si>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</si>
  <si>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</si>
  <si>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</si>
  <si>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</si>
  <si>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</si>
  <si>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</si>
  <si>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</si>
  <si>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</si>
  <si>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</si>
  <si>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</si>
  <si>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</si>
  <si>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</si>
  <si>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</si>
  <si>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</si>
  <si>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</si>
  <si>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</si>
  <si>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</si>
  <si>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</si>
  <si>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</si>
  <si>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</si>
  <si>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</si>
  <si>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</si>
  <si>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</si>
  <si>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</si>
  <si>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</si>
  <si>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</si>
  <si>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</si>
  <si>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</si>
  <si>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</si>
  <si>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</si>
  <si>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</si>
  <si>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</si>
  <si>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</si>
  <si>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</si>
  <si>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</si>
  <si>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</si>
  <si>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</si>
  <si>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</si>
  <si>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</si>
  <si>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</si>
  <si>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</si>
  <si>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</si>
  <si>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</si>
  <si>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</si>
  <si>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</si>
  <si>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</si>
  <si>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</si>
  <si>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</si>
  <si>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</si>
  <si>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</si>
  <si>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</si>
  <si>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</si>
  <si>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</si>
  <si>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</si>
  <si>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</si>
  <si>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</si>
  <si>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</si>
  <si>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</si>
  <si>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</si>
  <si>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</si>
  <si>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</si>
  <si>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</si>
  <si>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</si>
  <si>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</si>
  <si>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</si>
  <si>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</si>
  <si>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</si>
  <si>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</si>
  <si>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</si>
  <si>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</si>
  <si>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</si>
  <si>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</si>
  <si>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</si>
  <si>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</si>
  <si>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</si>
  <si>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</si>
  <si>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</si>
  <si>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</si>
  <si>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</si>
  <si>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</si>
  <si>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</si>
  <si>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</si>
  <si>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</si>
  <si>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</si>
  <si>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</si>
  <si>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</si>
  <si>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</si>
  <si>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</si>
  <si>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</si>
  <si>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</si>
  <si>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</si>
  <si>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</si>
  <si>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</si>
  <si>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</si>
  <si>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</si>
  <si>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</si>
  <si>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</si>
  <si>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</si>
  <si>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</si>
  <si>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</si>
  <si>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</si>
  <si>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</si>
  <si>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</si>
  <si>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</si>
  <si>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</si>
  <si>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</si>
  <si>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</si>
  <si>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</si>
  <si>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</si>
  <si>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</si>
  <si>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</si>
  <si>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</si>
  <si>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</si>
  <si>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</si>
  <si>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</si>
  <si>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</si>
  <si>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</si>
  <si>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</si>
  <si>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</si>
  <si>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</si>
  <si>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</si>
  <si>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</si>
  <si>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</si>
  <si>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</si>
  <si>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</si>
  <si>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</si>
  <si>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</si>
  <si>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</si>
  <si>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</si>
  <si>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</si>
  <si>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</si>
  <si>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</si>
  <si>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</si>
  <si>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</si>
  <si>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</si>
  <si>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</si>
  <si>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</si>
  <si>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</si>
  <si>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</si>
  <si>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</si>
  <si>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</si>
  <si>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</si>
  <si>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</si>
  <si>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</si>
  <si>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</si>
  <si>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</si>
  <si>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</si>
  <si>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</si>
  <si>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</si>
  <si>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</si>
  <si>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</si>
  <si>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</si>
  <si>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</si>
  <si>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</si>
  <si>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</si>
  <si>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</si>
  <si>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</si>
  <si>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</si>
  <si>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</si>
  <si>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</si>
  <si>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</si>
  <si>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</si>
  <si>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</si>
  <si>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</si>
  <si>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</si>
  <si>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</si>
  <si>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</si>
  <si>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</si>
  <si>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</si>
  <si>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</si>
  <si>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</si>
  <si>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</si>
  <si>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</si>
  <si>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</si>
  <si>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</si>
  <si>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</si>
  <si>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</si>
  <si>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</si>
  <si>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</si>
  <si>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</si>
  <si>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</si>
  <si>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</si>
  <si>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</si>
  <si>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</si>
  <si>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</si>
  <si>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</si>
  <si>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</si>
  <si>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</si>
  <si>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</si>
  <si>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</si>
  <si>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</si>
  <si>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</si>
  <si>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</si>
  <si>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</si>
  <si>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</si>
  <si>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</si>
  <si>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</si>
  <si>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</si>
  <si>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</si>
  <si>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</si>
  <si>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</si>
  <si>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</si>
  <si>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</si>
  <si>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</si>
  <si>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</si>
  <si>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</si>
  <si>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</si>
  <si>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</si>
  <si>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</si>
  <si>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</si>
  <si>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</si>
  <si>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</si>
  <si>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</si>
  <si>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</si>
  <si>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</si>
  <si>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</si>
  <si>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</si>
  <si>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</si>
  <si>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</si>
  <si>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</si>
  <si>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</si>
  <si>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</si>
  <si>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</si>
  <si>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</si>
  <si>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</si>
  <si>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</si>
  <si>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</si>
  <si>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</si>
  <si>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</si>
  <si>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</si>
  <si>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</si>
  <si>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</si>
  <si>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</si>
  <si>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</si>
  <si>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</si>
  <si>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</si>
  <si>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</si>
  <si>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</si>
  <si>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</si>
  <si>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</si>
  <si>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</si>
  <si>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</si>
  <si>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</si>
  <si>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</si>
  <si>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</si>
  <si>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</si>
  <si>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</si>
  <si>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</si>
  <si>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</si>
  <si>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</si>
  <si>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</si>
  <si>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</si>
  <si>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</si>
  <si>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</si>
  <si>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</si>
  <si>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</si>
  <si>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</si>
  <si>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</si>
  <si>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</si>
  <si>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</si>
  <si>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</si>
  <si>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</si>
  <si>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</si>
  <si>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</si>
  <si>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</si>
  <si>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</si>
  <si>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</si>
  <si>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</si>
  <si>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</si>
  <si>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</si>
  <si>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</si>
  <si>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</si>
  <si>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</si>
  <si>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</si>
  <si>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</si>
  <si>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</si>
  <si>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</si>
  <si>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</si>
  <si>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</si>
  <si>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</si>
  <si>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</si>
  <si>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</si>
  <si>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</si>
  <si>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</si>
  <si>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</si>
  <si>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</si>
  <si>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</si>
  <si>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</si>
  <si>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</si>
  <si>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</si>
  <si>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</si>
  <si>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</si>
  <si>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</si>
  <si>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</si>
  <si>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</si>
  <si>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</si>
  <si>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</si>
  <si>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</si>
  <si>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</si>
  <si>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</si>
  <si>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</si>
  <si>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</si>
  <si>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</si>
  <si>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</si>
  <si>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</si>
  <si>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</si>
  <si>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</si>
  <si>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</si>
  <si>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</si>
  <si>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</si>
  <si>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</si>
  <si>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</si>
  <si>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</si>
  <si>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</si>
  <si>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</si>
  <si>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</si>
  <si>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</si>
  <si>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</si>
  <si>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</si>
  <si>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</si>
  <si>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</si>
  <si>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</si>
  <si>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</si>
  <si>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</si>
  <si>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</si>
  <si>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</si>
  <si>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</si>
  <si>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</si>
  <si>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</si>
  <si>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</si>
  <si>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</si>
  <si>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</si>
  <si>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</si>
  <si>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</si>
  <si>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</si>
  <si>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</si>
  <si>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</si>
  <si>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</si>
  <si>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</si>
  <si>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</si>
  <si>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</si>
  <si>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</si>
  <si>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</si>
  <si>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</si>
  <si>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</si>
  <si>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</si>
  <si>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</si>
  <si>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</si>
  <si>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</si>
  <si>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</si>
  <si>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</si>
  <si>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</si>
  <si>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</si>
  <si>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</si>
  <si>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</si>
  <si>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</si>
  <si>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</si>
  <si>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</si>
  <si>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</si>
  <si>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</si>
  <si>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</si>
  <si>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</si>
  <si>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</si>
  <si>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</si>
  <si>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</si>
  <si>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</si>
  <si>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</si>
  <si>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</si>
  <si>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</si>
  <si>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</si>
  <si>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</si>
  <si>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</si>
  <si>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</si>
  <si>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</si>
  <si>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</si>
  <si>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</si>
  <si>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</si>
  <si>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</si>
  <si>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</si>
  <si>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</si>
  <si>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</si>
  <si>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</si>
  <si>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</si>
  <si>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</si>
  <si>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</si>
  <si>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</si>
  <si>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</si>
  <si>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</si>
  <si>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</si>
  <si>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</si>
  <si>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</si>
  <si>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</si>
  <si>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</si>
  <si>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</si>
  <si>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</si>
  <si>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</si>
  <si>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</si>
  <si>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</si>
  <si>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</si>
  <si>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</si>
  <si>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</si>
  <si>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</si>
  <si>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</si>
  <si>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</si>
  <si>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</si>
  <si>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</si>
  <si>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</si>
  <si>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</si>
  <si>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</si>
  <si>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</si>
  <si>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</si>
  <si>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</si>
  <si>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</si>
  <si>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</si>
  <si>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</si>
  <si>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</si>
  <si>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</si>
  <si>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</si>
  <si>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</si>
  <si>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</si>
  <si>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</si>
  <si>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</si>
  <si>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</si>
  <si>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</si>
  <si>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</si>
  <si>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</si>
  <si>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</si>
  <si>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</si>
  <si>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</si>
  <si>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</si>
  <si>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</si>
  <si>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</si>
  <si>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</si>
  <si>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</si>
  <si>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</si>
  <si>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</si>
  <si>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</si>
  <si>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</si>
  <si>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</si>
  <si>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</si>
  <si>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</si>
  <si>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</si>
  <si>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</si>
  <si>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</si>
  <si>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</si>
  <si>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</si>
  <si>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</si>
  <si>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</si>
  <si>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</si>
  <si>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</si>
  <si>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</si>
  <si>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</si>
  <si>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</si>
  <si>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</si>
  <si>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</si>
  <si>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</si>
  <si>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</si>
  <si>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</si>
  <si>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</si>
  <si>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</si>
  <si>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</si>
  <si>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</si>
  <si>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</si>
  <si>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</si>
  <si>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</si>
  <si>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</si>
  <si>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</si>
  <si>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</si>
  <si>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</si>
  <si>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</si>
  <si>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</si>
  <si>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</si>
  <si>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</si>
  <si>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</si>
  <si>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</si>
  <si>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</si>
  <si>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</si>
  <si>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</si>
  <si>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</si>
  <si>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</si>
  <si>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</si>
  <si>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</si>
  <si>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</si>
  <si>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</si>
  <si>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</si>
  <si>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</si>
  <si>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</si>
  <si>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</si>
  <si>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</si>
  <si>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</si>
  <si>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</si>
  <si>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</si>
  <si>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</si>
  <si>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</si>
  <si>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</si>
  <si>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</si>
  <si>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</si>
  <si>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</si>
  <si>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</si>
  <si>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</si>
  <si>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</si>
  <si>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</si>
  <si>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</si>
  <si>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</si>
  <si>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</si>
  <si>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</si>
  <si>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</si>
  <si>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</si>
  <si>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</si>
  <si>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</si>
  <si>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</si>
  <si>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</si>
  <si>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</si>
  <si>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</si>
  <si>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</si>
  <si>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</si>
  <si>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</si>
  <si>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</si>
  <si>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</si>
  <si>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</si>
  <si>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</si>
  <si>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</si>
  <si>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</si>
  <si>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</si>
  <si>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</si>
  <si>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</si>
  <si>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</si>
  <si>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</si>
  <si>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</si>
  <si>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</si>
  <si>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</si>
  <si>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</si>
  <si>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</si>
  <si>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</si>
  <si>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</si>
  <si>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</si>
  <si>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</si>
  <si>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</si>
  <si>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</si>
  <si>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</si>
  <si>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</si>
  <si>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</si>
  <si>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</si>
  <si>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</si>
  <si>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</si>
  <si>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</si>
  <si>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</si>
  <si>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</si>
  <si>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</si>
  <si>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</si>
  <si>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</si>
  <si>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</si>
  <si>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</si>
  <si>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</si>
  <si>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</si>
  <si>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</si>
  <si>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</si>
  <si>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</si>
  <si>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</si>
  <si>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</si>
  <si>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</si>
  <si>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</si>
  <si>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</si>
  <si>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</si>
  <si>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</si>
  <si>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</si>
  <si>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</si>
  <si>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</si>
  <si>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</si>
  <si>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</si>
  <si>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</si>
  <si>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</si>
  <si>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</si>
  <si>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</si>
  <si>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</si>
  <si>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</si>
  <si>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</si>
  <si>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</si>
  <si>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</si>
  <si>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</si>
  <si>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</si>
  <si>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</si>
  <si>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</si>
  <si>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</si>
  <si>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</si>
  <si>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</si>
  <si>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</si>
  <si>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</si>
  <si>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</si>
  <si>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</si>
  <si>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</si>
  <si>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</si>
  <si>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</si>
  <si>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</si>
  <si>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</si>
  <si>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</si>
  <si>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</si>
  <si>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</si>
  <si>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</si>
  <si>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</si>
  <si>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</si>
  <si>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</si>
  <si>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</si>
  <si>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</si>
  <si>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</si>
  <si>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</si>
  <si>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</si>
  <si>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</si>
  <si>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</si>
  <si>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</si>
  <si>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</si>
  <si>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</si>
  <si>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</si>
  <si>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</si>
  <si>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</si>
  <si>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</si>
  <si>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</si>
  <si>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</si>
  <si>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</si>
  <si>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</si>
  <si>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</si>
  <si>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</si>
  <si>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</si>
  <si>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</si>
  <si>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</si>
  <si>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</si>
  <si>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</si>
  <si>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</si>
  <si>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</si>
  <si>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</si>
  <si>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</si>
  <si>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</si>
  <si>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</si>
  <si>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</si>
  <si>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</si>
  <si>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</si>
  <si>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</si>
  <si>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</si>
  <si>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</si>
  <si>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</si>
  <si>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</si>
  <si>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</si>
  <si>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</si>
  <si>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</si>
  <si>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</si>
  <si>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</si>
  <si>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</si>
  <si>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</si>
  <si>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</si>
  <si>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</si>
  <si>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</si>
  <si>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</si>
  <si>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</si>
  <si>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</si>
  <si>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</si>
  <si>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</si>
  <si>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</si>
  <si>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</si>
  <si>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</si>
  <si>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</si>
  <si>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</si>
  <si>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</si>
  <si>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</si>
  <si>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</si>
  <si>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</si>
  <si>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</si>
  <si>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</si>
  <si>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</si>
  <si>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</si>
  <si>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</si>
  <si>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</si>
  <si>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</si>
  <si>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</si>
  <si>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</si>
  <si>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</si>
  <si>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</si>
  <si>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</si>
  <si>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</si>
  <si>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</si>
  <si>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</si>
  <si>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</si>
  <si>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</si>
  <si>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</si>
  <si>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</si>
  <si>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</si>
  <si>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</si>
  <si>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</si>
  <si>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</si>
  <si>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</si>
  <si>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</si>
  <si>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</si>
  <si>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</si>
  <si>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</si>
  <si>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</si>
  <si>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</si>
  <si>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</si>
  <si>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</si>
  <si>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</si>
  <si>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</si>
  <si>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</si>
  <si>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</si>
  <si>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</si>
  <si>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</si>
  <si>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</si>
  <si>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</si>
  <si>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</si>
  <si>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</si>
  <si>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</si>
  <si>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</si>
  <si>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</si>
  <si>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</si>
  <si>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</si>
  <si>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</si>
  <si>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</si>
  <si>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</si>
  <si>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</si>
  <si>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</si>
  <si>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</si>
  <si>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</si>
  <si>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</si>
  <si>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</si>
  <si>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</si>
  <si>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</si>
  <si>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</si>
  <si>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</si>
  <si>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</si>
  <si>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</si>
  <si>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</si>
  <si>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</si>
  <si>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</si>
  <si>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</si>
  <si>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</si>
  <si>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</si>
  <si>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</si>
  <si>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</si>
  <si>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</si>
  <si>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</si>
  <si>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</si>
  <si>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</si>
  <si>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</si>
  <si>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</si>
  <si>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</si>
  <si>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</si>
  <si>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</si>
  <si>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</si>
  <si>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</si>
  <si>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</si>
  <si>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</si>
  <si>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</si>
  <si>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</si>
  <si>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</si>
  <si>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</si>
  <si>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</si>
  <si>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</si>
  <si>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</si>
  <si>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</si>
  <si>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</si>
  <si>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</si>
  <si>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</si>
  <si>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</si>
  <si>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</si>
  <si>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</si>
  <si>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</si>
  <si>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</si>
  <si>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</si>
  <si>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</si>
  <si>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</si>
  <si>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</si>
  <si>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</si>
  <si>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</si>
  <si>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</si>
  <si>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</si>
  <si>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</si>
  <si>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</si>
  <si>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</si>
  <si>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</si>
  <si>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</si>
  <si>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</si>
  <si>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</si>
  <si>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</si>
  <si>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</si>
  <si>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</si>
  <si>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</si>
  <si>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</si>
  <si>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</si>
  <si>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</si>
  <si>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</si>
  <si>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</si>
  <si>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</si>
  <si>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</si>
  <si>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</si>
  <si>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</si>
  <si>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</si>
  <si>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</si>
  <si>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</si>
  <si>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</si>
  <si>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</si>
  <si>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</si>
  <si>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</si>
  <si>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</si>
  <si>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</si>
  <si>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</si>
  <si>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</si>
  <si>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</si>
  <si>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</si>
  <si>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</si>
  <si>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</si>
  <si>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</si>
  <si>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</si>
  <si>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</si>
  <si>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</si>
  <si>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</si>
  <si>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</si>
  <si>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</si>
  <si>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</si>
  <si>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</si>
  <si>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</si>
  <si>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</si>
  <si>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</si>
  <si>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</si>
  <si>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</si>
  <si>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</si>
  <si>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</si>
  <si>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</si>
  <si>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</si>
  <si>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</si>
  <si>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</si>
  <si>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</si>
  <si>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</si>
  <si>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</si>
  <si>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</si>
  <si>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</si>
  <si>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</si>
  <si>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</si>
  <si>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</si>
  <si>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</si>
  <si>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</si>
  <si>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</si>
  <si>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</si>
  <si>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</si>
  <si>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</si>
  <si>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</si>
  <si>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</si>
  <si>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</si>
  <si>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</si>
  <si>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</si>
  <si>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</si>
  <si>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</si>
  <si>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</si>
  <si>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</si>
  <si>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</si>
  <si>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</si>
  <si>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</si>
  <si>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</si>
  <si>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</si>
  <si>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</si>
  <si>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</si>
  <si>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</si>
  <si>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</si>
  <si>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</si>
  <si>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</si>
  <si>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</si>
  <si>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</si>
  <si>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</si>
  <si>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</si>
  <si>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</si>
  <si>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</si>
  <si>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</si>
  <si>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</si>
  <si>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</si>
  <si>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</si>
  <si>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</si>
  <si>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</si>
  <si>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</si>
  <si>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</si>
  <si>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</si>
  <si>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</si>
  <si>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</si>
  <si>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</si>
  <si>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</si>
  <si>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</si>
  <si>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</si>
  <si>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</si>
  <si>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</si>
  <si>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</si>
  <si>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</si>
  <si>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</si>
  <si>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</si>
  <si>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</si>
  <si>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</si>
  <si>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</si>
  <si>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</si>
  <si>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</si>
  <si>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</si>
  <si>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</si>
  <si>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</si>
  <si>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</si>
  <si>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</si>
  <si>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</si>
  <si>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</si>
  <si>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</si>
  <si>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</si>
  <si>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</si>
  <si>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</si>
  <si>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</si>
  <si>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</si>
  <si>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</si>
  <si>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</si>
  <si>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</si>
  <si>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</si>
  <si>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</si>
  <si>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</si>
  <si>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</si>
  <si>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</si>
  <si>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</si>
  <si>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</si>
  <si>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</si>
  <si>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</si>
  <si>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</si>
  <si>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</si>
  <si>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</si>
  <si>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</si>
  <si>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</si>
  <si>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</si>
  <si>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</si>
  <si>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</si>
  <si>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</si>
  <si>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</si>
  <si>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</si>
  <si>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</si>
  <si>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</si>
  <si>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</si>
  <si>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</si>
  <si>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</si>
  <si>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</si>
  <si>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</si>
  <si>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</si>
  <si>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</si>
  <si>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</si>
  <si>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</si>
  <si>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</si>
  <si>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</si>
  <si>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</si>
  <si>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</si>
  <si>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</si>
  <si>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</si>
  <si>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</si>
  <si>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</si>
  <si>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</si>
  <si>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</si>
  <si>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</si>
  <si>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</si>
  <si>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</si>
  <si>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</si>
  <si>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</si>
  <si>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</si>
  <si>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</si>
  <si>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</si>
  <si>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</si>
  <si>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</si>
  <si>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</si>
  <si>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</si>
  <si>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</si>
  <si>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</si>
  <si>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</si>
  <si>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</si>
  <si>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</si>
  <si>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</si>
  <si>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</si>
  <si>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</si>
  <si>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</si>
  <si>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</si>
  <si>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</si>
  <si>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</si>
  <si>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</si>
  <si>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</si>
  <si>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</si>
  <si>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</si>
  <si>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</si>
  <si>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</si>
  <si>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</si>
  <si>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</si>
  <si>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</si>
  <si>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</si>
  <si>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</si>
  <si>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</si>
  <si>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</si>
  <si>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</si>
  <si>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</si>
  <si>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</si>
  <si>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</si>
  <si>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</si>
  <si>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</si>
  <si>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</si>
  <si>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</si>
  <si>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</si>
  <si>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</si>
  <si>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</si>
  <si>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</si>
  <si>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</si>
  <si>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</si>
  <si>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</si>
  <si>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</si>
  <si>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</si>
  <si>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</si>
  <si>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</si>
  <si>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</si>
  <si>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</si>
  <si>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</si>
  <si>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</si>
  <si>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</si>
  <si>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</si>
  <si>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</si>
  <si>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</si>
  <si>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</si>
  <si>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</si>
  <si>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</si>
  <si>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</si>
  <si>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</si>
  <si>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</si>
  <si>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</si>
  <si>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</si>
  <si>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</si>
  <si>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</si>
  <si>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</si>
  <si>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</si>
  <si>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</si>
  <si>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</si>
  <si>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</si>
  <si>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</si>
  <si>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</si>
  <si>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</si>
  <si>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</si>
  <si>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</si>
  <si>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</si>
  <si>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</si>
  <si>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</si>
  <si>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</si>
  <si>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</si>
  <si>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</si>
  <si>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</si>
  <si>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</si>
  <si>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</si>
  <si>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</si>
  <si>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</si>
  <si>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</si>
  <si>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</si>
  <si>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</si>
  <si>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</si>
  <si>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</si>
  <si>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</si>
  <si>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</si>
  <si>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</si>
  <si>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</si>
  <si>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</si>
  <si>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</si>
  <si>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</si>
  <si>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</si>
  <si>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</si>
  <si>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</si>
  <si>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</si>
  <si>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</si>
  <si>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</si>
  <si>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</si>
  <si>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</si>
  <si>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</si>
  <si>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</si>
  <si>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</si>
  <si>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</si>
  <si>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</si>
  <si>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</si>
  <si>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</si>
  <si>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</si>
  <si>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</si>
  <si>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</si>
  <si>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</si>
  <si>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</si>
  <si>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</si>
  <si>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</si>
  <si>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</si>
  <si>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</si>
  <si>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</si>
  <si>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</si>
  <si>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</si>
  <si>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</si>
  <si>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</si>
  <si>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</si>
  <si>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</si>
  <si>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</si>
  <si>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</si>
  <si>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</si>
  <si>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</si>
  <si>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</si>
  <si>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</si>
  <si>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</si>
  <si>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</si>
  <si>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</si>
  <si>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</si>
  <si>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</si>
  <si>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</si>
  <si>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</si>
  <si>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</si>
  <si>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</si>
  <si>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</si>
  <si>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</si>
  <si>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</si>
  <si>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</si>
  <si>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</si>
  <si>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</si>
  <si>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</si>
  <si>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</si>
  <si>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</si>
  <si>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</si>
  <si>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</si>
  <si>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</si>
  <si>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</si>
  <si>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</si>
  <si>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</si>
  <si>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</si>
  <si>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</si>
  <si>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</si>
  <si>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</si>
  <si>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</si>
  <si>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</si>
  <si>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</si>
  <si>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</si>
  <si>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</si>
  <si>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</si>
  <si>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</si>
  <si>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</si>
  <si>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</si>
  <si>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</si>
  <si>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</si>
  <si>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</si>
  <si>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</si>
  <si>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</si>
  <si>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</si>
  <si>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</si>
  <si>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</si>
  <si>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</si>
  <si>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</si>
  <si>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</si>
  <si>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</si>
  <si>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</si>
  <si>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</si>
  <si>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</si>
  <si>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</si>
  <si>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</si>
  <si>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</si>
  <si>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</si>
  <si>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</si>
  <si>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</si>
  <si>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</si>
  <si>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</si>
  <si>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</si>
  <si>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</si>
  <si>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</si>
  <si>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</si>
  <si>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</si>
  <si>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</si>
  <si>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</si>
  <si>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</si>
  <si>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</si>
  <si>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</si>
  <si>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</si>
  <si>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</si>
  <si>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</si>
  <si>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</si>
  <si>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</si>
  <si>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</si>
  <si>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</si>
  <si>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</si>
  <si>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</si>
  <si>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</si>
  <si>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</si>
  <si>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</si>
  <si>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</si>
  <si>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</si>
  <si>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</si>
  <si>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</si>
  <si>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</si>
  <si>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</si>
  <si>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</si>
  <si>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</si>
  <si>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</si>
  <si>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</si>
  <si>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</si>
  <si>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</si>
  <si>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</si>
  <si>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</si>
  <si>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</si>
  <si>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</si>
  <si>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</si>
  <si>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</si>
  <si>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</si>
  <si>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</si>
  <si>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</si>
  <si>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</si>
  <si>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</si>
  <si>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</si>
  <si>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</si>
  <si>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</si>
  <si>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</si>
  <si>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</si>
  <si>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</si>
  <si>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</si>
  <si>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</si>
  <si>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</si>
  <si>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</si>
  <si>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</si>
  <si>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</si>
  <si>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</si>
  <si>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</si>
  <si>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</si>
  <si>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</si>
  <si>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</si>
  <si>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</si>
  <si>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</si>
  <si>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</si>
  <si>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</si>
  <si>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</si>
  <si>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</si>
  <si>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</si>
  <si>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</si>
  <si>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</si>
  <si>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</si>
  <si>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</si>
  <si>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</si>
  <si>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</si>
  <si>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</si>
  <si>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</si>
  <si>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</si>
  <si>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</si>
  <si>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</si>
  <si>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</si>
  <si>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</si>
  <si>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</si>
  <si>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</si>
  <si>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</si>
  <si>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</si>
  <si>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</si>
  <si>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</si>
  <si>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</si>
  <si>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</si>
  <si>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</si>
  <si>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</si>
  <si>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</si>
  <si>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</si>
  <si>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</si>
  <si>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</si>
  <si>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</si>
  <si>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</si>
  <si>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</si>
  <si>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</si>
  <si>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</si>
  <si>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</si>
  <si>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</si>
  <si>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</si>
  <si>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</si>
  <si>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</si>
  <si>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</si>
  <si>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</si>
  <si>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</si>
  <si>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</si>
  <si>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</si>
  <si>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</si>
  <si>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</si>
  <si>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</si>
  <si>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</si>
  <si>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</si>
  <si>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</si>
  <si>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</si>
  <si>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</si>
  <si>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</si>
  <si>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</si>
  <si>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</si>
  <si>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</si>
  <si>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</si>
  <si>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</si>
  <si>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</si>
  <si>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</si>
  <si>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</si>
  <si>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</si>
  <si>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</si>
  <si>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</si>
  <si>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</si>
  <si>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</si>
  <si>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</si>
  <si>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</si>
  <si>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</si>
  <si>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</si>
  <si>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</si>
  <si>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</si>
  <si>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</si>
  <si>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</si>
  <si>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</si>
  <si>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</si>
  <si>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</si>
  <si>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</si>
  <si>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</si>
  <si>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</si>
  <si>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</si>
  <si>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</si>
  <si>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</si>
  <si>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</si>
  <si>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</si>
  <si>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</si>
  <si>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</si>
  <si>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</si>
  <si>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</si>
  <si>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</si>
  <si>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</si>
  <si>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</si>
  <si>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</si>
  <si>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</si>
  <si>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</si>
  <si>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</si>
  <si>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</si>
  <si>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</si>
  <si>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</si>
  <si>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</si>
  <si>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</si>
  <si>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</si>
  <si>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</si>
  <si>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</si>
  <si>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</si>
  <si>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</si>
  <si>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</si>
  <si>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</si>
  <si>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</si>
  <si>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</si>
  <si>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</si>
  <si>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</si>
  <si>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</si>
  <si>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</si>
  <si>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</si>
  <si>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</si>
  <si>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</si>
  <si>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</si>
  <si>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</si>
  <si>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</si>
  <si>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</si>
  <si>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</si>
  <si>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</si>
  <si>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</si>
  <si>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</si>
  <si>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</si>
  <si>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</si>
  <si>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</si>
  <si>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</si>
  <si>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</si>
  <si>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</si>
  <si>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</si>
  <si>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</si>
  <si>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</si>
  <si>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</si>
  <si>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</si>
  <si>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</si>
  <si>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</si>
  <si>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</si>
  <si>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</si>
  <si>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</si>
  <si>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</si>
  <si>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</si>
  <si>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</si>
  <si>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</si>
  <si>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</si>
  <si>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</si>
  <si>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</si>
  <si>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</si>
  <si>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</si>
  <si>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</si>
  <si>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</si>
  <si>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</si>
  <si>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</si>
  <si>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</si>
  <si>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</si>
  <si>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</si>
  <si>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</si>
  <si>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</si>
  <si>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</si>
  <si>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</si>
  <si>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</si>
  <si>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</si>
  <si>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</si>
  <si>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</si>
  <si>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</si>
  <si>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</si>
  <si>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</si>
  <si>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</si>
  <si>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</si>
  <si>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</si>
  <si>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</si>
  <si>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</si>
  <si>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</si>
  <si>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</si>
  <si>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</si>
  <si>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</si>
  <si>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</si>
  <si>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</si>
  <si>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</si>
  <si>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</si>
  <si>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</si>
  <si>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</si>
  <si>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</si>
  <si>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</si>
  <si>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</si>
  <si>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</si>
  <si>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</si>
  <si>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</si>
  <si>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</si>
  <si>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</si>
  <si>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</si>
  <si>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</si>
  <si>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</si>
  <si>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</si>
  <si>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</si>
  <si>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</si>
  <si>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</si>
  <si>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</si>
  <si>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</si>
  <si>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</si>
  <si>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</si>
  <si>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</si>
  <si>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</si>
  <si>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</si>
  <si>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</si>
  <si>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</si>
  <si>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</si>
  <si>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</si>
  <si>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</si>
  <si>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</si>
  <si>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</si>
  <si>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</si>
  <si>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</si>
  <si>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</si>
  <si>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</si>
  <si>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</si>
  <si>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</si>
  <si>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</si>
  <si>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</si>
  <si>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</si>
  <si>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</si>
  <si>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</si>
  <si>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</si>
  <si>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</si>
  <si>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</si>
  <si>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</si>
  <si>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</si>
  <si>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</si>
  <si>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</si>
  <si>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</si>
  <si>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</si>
  <si>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</si>
  <si>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</si>
  <si>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</si>
  <si>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</si>
  <si>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</si>
  <si>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</si>
  <si>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</si>
  <si>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</si>
  <si>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</si>
  <si>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</si>
  <si>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</si>
  <si>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</si>
  <si>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</si>
  <si>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</si>
  <si>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</si>
  <si>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</si>
  <si>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</si>
  <si>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</si>
  <si>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</si>
  <si>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</si>
  <si>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</si>
  <si>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</si>
  <si>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</si>
  <si>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</si>
  <si>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</si>
  <si>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</si>
  <si>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</si>
  <si>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</si>
  <si>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</si>
  <si>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</si>
  <si>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</si>
  <si>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</si>
  <si>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</si>
  <si>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</si>
  <si>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</si>
  <si>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</si>
  <si>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</si>
  <si>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</si>
  <si>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</si>
  <si>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</si>
  <si>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</si>
  <si>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</si>
  <si>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</si>
  <si>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</si>
  <si>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</si>
  <si>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</si>
  <si>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</si>
  <si>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</si>
  <si>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</si>
  <si>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</si>
  <si>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</si>
  <si>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</si>
  <si>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</si>
  <si>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</si>
  <si>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</si>
  <si>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</si>
  <si>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</si>
  <si>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</si>
  <si>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</si>
  <si>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</si>
  <si>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</si>
  <si>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</si>
  <si>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</si>
  <si>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</si>
  <si>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</si>
  <si>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</si>
  <si>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</si>
  <si>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</si>
  <si>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</si>
  <si>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</si>
  <si>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</si>
  <si>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</si>
  <si>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</si>
  <si>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</si>
  <si>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</si>
  <si>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</si>
  <si>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</si>
  <si>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</si>
  <si>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</si>
  <si>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</si>
  <si>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</si>
  <si>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</si>
  <si>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</si>
  <si>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</si>
  <si>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</si>
  <si>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</si>
  <si>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</si>
  <si>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</si>
  <si>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</si>
  <si>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</si>
  <si>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</si>
  <si>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</si>
  <si>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</si>
  <si>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</si>
  <si>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</si>
  <si>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</si>
  <si>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</si>
  <si>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</si>
  <si>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</si>
  <si>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</si>
  <si>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</si>
  <si>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</si>
  <si>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</si>
  <si>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</si>
  <si>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</si>
  <si>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</si>
  <si>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</si>
  <si>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</si>
  <si>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</si>
  <si>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</si>
  <si>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</si>
  <si>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</si>
  <si>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</si>
  <si>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</si>
  <si>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</si>
  <si>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</si>
  <si>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</si>
  <si>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</si>
  <si>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</si>
  <si>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</si>
  <si>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</si>
  <si>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</si>
  <si>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</si>
  <si>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</si>
  <si>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</si>
  <si>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</si>
  <si>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</si>
  <si>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</si>
  <si>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</si>
  <si>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</si>
  <si>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</si>
  <si>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</si>
  <si>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</si>
  <si>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</si>
  <si>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</si>
  <si>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</si>
  <si>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</si>
  <si>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</si>
  <si>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</si>
  <si>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</si>
  <si>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</si>
  <si>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</si>
  <si>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</si>
  <si>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</si>
  <si>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</si>
  <si>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</si>
  <si>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</si>
  <si>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</si>
  <si>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</si>
  <si>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</si>
  <si>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</si>
  <si>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</si>
  <si>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</si>
  <si>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</si>
  <si>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</si>
  <si>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</si>
  <si>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</si>
  <si>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</si>
  <si>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</si>
  <si>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</si>
  <si>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</si>
  <si>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</si>
  <si>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</si>
  <si>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</si>
  <si>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</si>
  <si>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</si>
  <si>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</si>
  <si>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</si>
  <si>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</si>
  <si>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</si>
  <si>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</si>
  <si>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</si>
  <si>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</si>
  <si>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</si>
  <si>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</si>
  <si>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</si>
  <si>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</si>
  <si>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</si>
  <si>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</si>
  <si>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</si>
  <si>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</si>
  <si>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</si>
  <si>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</si>
  <si>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</si>
  <si>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</si>
  <si>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</si>
  <si>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</si>
  <si>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</si>
  <si>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</si>
  <si>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</si>
  <si>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</si>
  <si>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</si>
  <si>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</si>
  <si>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</si>
  <si>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</si>
  <si>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</si>
  <si>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</si>
  <si>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</si>
  <si>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</si>
  <si>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</si>
  <si>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</si>
  <si>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</si>
  <si>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</si>
  <si>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</si>
  <si>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</si>
  <si>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</si>
  <si>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</si>
  <si>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</si>
  <si>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</si>
  <si>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</si>
  <si>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</si>
  <si>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</si>
  <si>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</si>
  <si>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</si>
  <si>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</si>
  <si>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</si>
  <si>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</si>
  <si>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</si>
  <si>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</si>
  <si>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</si>
  <si>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</si>
  <si>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</si>
  <si>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</si>
  <si>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</si>
  <si>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</si>
  <si>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</si>
  <si>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</si>
  <si>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</si>
  <si>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</si>
  <si>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</si>
  <si>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</si>
  <si>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</si>
  <si>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</si>
  <si>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</si>
  <si>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</si>
  <si>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</si>
  <si>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</si>
  <si>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</si>
  <si>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</si>
  <si>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</si>
  <si>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</si>
  <si>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</si>
  <si>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</si>
  <si>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</si>
  <si>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</si>
  <si>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</si>
  <si>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</si>
  <si>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</si>
  <si>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</si>
  <si>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</si>
  <si>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</si>
  <si>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</si>
  <si>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</si>
  <si>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</si>
  <si>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</si>
  <si>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</si>
  <si>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</si>
  <si>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</si>
  <si>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</si>
  <si>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</si>
  <si>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</si>
  <si>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</si>
  <si>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</si>
  <si>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</si>
  <si>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</si>
  <si>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</si>
  <si>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</si>
  <si>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</si>
  <si>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</si>
  <si>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</si>
  <si>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</si>
  <si>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</si>
  <si>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</si>
  <si>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</si>
  <si>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</si>
  <si>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</si>
  <si>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</si>
  <si>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</si>
  <si>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</si>
  <si>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</si>
  <si>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</si>
  <si>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</si>
  <si>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</si>
  <si>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</si>
  <si>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</si>
  <si>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</si>
  <si>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</si>
  <si>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</si>
  <si>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</si>
  <si>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</si>
  <si>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</si>
  <si>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</si>
  <si>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</si>
  <si>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</si>
  <si>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</si>
  <si>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</si>
  <si>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</si>
  <si>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</si>
  <si>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</si>
  <si>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</si>
  <si>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</si>
  <si>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</si>
  <si>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</si>
  <si>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</si>
  <si>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</si>
  <si>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</si>
  <si>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</si>
  <si>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</si>
  <si>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</si>
  <si>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</si>
  <si>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</si>
  <si>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</si>
  <si>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</si>
  <si>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</si>
  <si>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</si>
  <si>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</si>
  <si>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</si>
  <si>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</si>
  <si>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</si>
  <si>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</si>
  <si>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</si>
  <si>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</si>
  <si>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</si>
  <si>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</si>
  <si>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</si>
  <si>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</si>
  <si>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</si>
  <si>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</si>
  <si>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</si>
  <si>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</si>
  <si>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</si>
  <si>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</si>
  <si>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</si>
  <si>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</si>
  <si>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</si>
  <si>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</si>
  <si>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</si>
  <si>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</si>
  <si>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</si>
  <si>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</si>
  <si>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</si>
  <si>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</si>
  <si>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</si>
  <si>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</si>
  <si>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</si>
  <si>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</si>
  <si>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</si>
  <si>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</si>
  <si>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</si>
  <si>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</si>
  <si>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</si>
  <si>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</si>
  <si>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</si>
  <si>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</si>
  <si>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</si>
  <si>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</si>
  <si>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</si>
  <si>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</si>
  <si>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</si>
  <si>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</si>
  <si>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</si>
  <si>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</si>
  <si>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</si>
  <si>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</si>
  <si>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</si>
  <si>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</si>
  <si>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</si>
  <si>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</si>
  <si>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</si>
  <si>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</si>
  <si>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</si>
  <si>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</si>
  <si>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</si>
  <si>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</si>
  <si>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</si>
  <si>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</si>
  <si>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</si>
  <si>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</si>
  <si>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</si>
  <si>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</si>
  <si>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</si>
  <si>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</si>
  <si>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</si>
  <si>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</si>
  <si>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</si>
  <si>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</si>
  <si>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</si>
  <si>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</si>
  <si>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</si>
  <si>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</si>
  <si>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</si>
  <si>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</si>
  <si>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</si>
  <si>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</si>
  <si>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</si>
  <si>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</si>
  <si>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</si>
  <si>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</si>
  <si>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</si>
  <si>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</si>
  <si>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</si>
  <si>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</si>
  <si>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</si>
  <si>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</si>
  <si>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</si>
  <si>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</si>
  <si>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</si>
  <si>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</si>
  <si>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</si>
  <si>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</si>
  <si>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</si>
  <si>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</si>
  <si>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</si>
  <si>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</si>
  <si>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</si>
  <si>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</si>
  <si>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</si>
  <si>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</si>
  <si>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</si>
  <si>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</si>
  <si>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</si>
  <si>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</si>
  <si>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</si>
  <si>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</si>
  <si>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</si>
  <si>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</si>
  <si>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</si>
  <si>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</si>
  <si>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</si>
  <si>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</si>
  <si>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</si>
  <si>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</si>
  <si>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</si>
  <si>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</si>
  <si>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</si>
  <si>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</si>
  <si>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</si>
  <si>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</si>
  <si>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</si>
  <si>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</si>
  <si>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</si>
  <si>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</si>
  <si>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</si>
  <si>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</si>
  <si>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</si>
  <si>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</si>
  <si>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</si>
  <si>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</si>
  <si>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</si>
  <si>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</si>
  <si>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</si>
  <si>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</si>
  <si>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</si>
  <si>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</si>
  <si>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</si>
  <si>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</si>
  <si>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</si>
  <si>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</si>
  <si>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</si>
  <si>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</si>
  <si>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</si>
  <si>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</si>
  <si>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</si>
  <si>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</si>
  <si>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</si>
  <si>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</si>
  <si>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</si>
  <si>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</si>
  <si>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</si>
  <si>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</si>
  <si>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</si>
  <si>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</si>
  <si>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</si>
  <si>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</si>
  <si>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</si>
  <si>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</si>
  <si>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</si>
  <si>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</si>
  <si>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</si>
  <si>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</si>
  <si>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</si>
  <si>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</si>
  <si>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</si>
  <si>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</si>
  <si>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</si>
  <si>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</si>
  <si>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</si>
  <si>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</si>
  <si>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</si>
  <si>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</si>
  <si>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</si>
  <si>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</si>
  <si>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</si>
  <si>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</si>
  <si>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</si>
  <si>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</si>
  <si>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</si>
  <si>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</si>
  <si>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</si>
  <si>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</si>
  <si>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</si>
  <si>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</si>
  <si>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</si>
  <si>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</si>
  <si>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</si>
  <si>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</si>
  <si>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</si>
  <si>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</si>
  <si>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</si>
  <si>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</si>
  <si>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</si>
  <si>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</si>
  <si>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</si>
  <si>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</si>
  <si>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</si>
  <si>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</si>
  <si>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</si>
  <si>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</si>
  <si>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</si>
  <si>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</si>
  <si>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</si>
  <si>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</si>
  <si>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</si>
  <si>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</si>
  <si>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</si>
  <si>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</si>
  <si>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</si>
  <si>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</si>
  <si>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</si>
  <si>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</si>
  <si>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</si>
  <si>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</si>
  <si>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</si>
  <si>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</si>
  <si>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</si>
  <si>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</si>
  <si>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</si>
  <si>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</si>
  <si>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</si>
  <si>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</si>
  <si>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</si>
  <si>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</si>
  <si>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</si>
  <si>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</si>
  <si>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</si>
  <si>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</si>
  <si>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</si>
  <si>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</si>
  <si>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</si>
  <si>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</si>
  <si>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</si>
  <si>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</si>
  <si>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</si>
  <si>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</si>
  <si>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</si>
  <si>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</si>
  <si>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</si>
  <si>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</si>
  <si>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</si>
  <si>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</si>
  <si>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</si>
  <si>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</si>
  <si>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</si>
  <si>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</si>
  <si>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</si>
  <si>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</si>
  <si>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</si>
  <si>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</si>
  <si>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</si>
  <si>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</si>
  <si>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</si>
  <si>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</si>
  <si>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</si>
  <si>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</si>
  <si>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</si>
  <si>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</si>
  <si>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</si>
  <si>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</si>
  <si>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</si>
  <si>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</si>
  <si>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</si>
  <si>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</si>
  <si>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</si>
  <si>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</si>
  <si>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</si>
  <si>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</si>
  <si>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</si>
  <si>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</si>
  <si>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</si>
  <si>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</si>
  <si>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</si>
  <si>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</si>
  <si>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</si>
  <si>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</si>
  <si>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</si>
  <si>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</si>
  <si>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</si>
  <si>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</si>
  <si>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</si>
  <si>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</si>
  <si>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</si>
  <si>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</si>
  <si>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</si>
  <si>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</si>
  <si>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</si>
  <si>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</si>
  <si>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</si>
  <si>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</si>
  <si>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</si>
  <si>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</si>
  <si>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</si>
  <si>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</si>
  <si>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</si>
  <si>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</si>
  <si>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</si>
  <si>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</si>
  <si>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</si>
  <si>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</si>
  <si>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</si>
  <si>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</si>
  <si>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</si>
  <si>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</si>
  <si>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</si>
  <si>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</si>
  <si>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</si>
  <si>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</si>
  <si>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</si>
  <si>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</si>
  <si>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</si>
  <si>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</si>
  <si>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</si>
  <si>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</si>
  <si>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</si>
  <si>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</si>
  <si>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</si>
  <si>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</si>
  <si>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</si>
  <si>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</si>
  <si>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</si>
  <si>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</si>
  <si>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</si>
  <si>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</si>
  <si>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</si>
  <si>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</si>
  <si>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</si>
  <si>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</si>
  <si>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</si>
  <si>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</si>
  <si>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</si>
  <si>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</si>
  <si>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</si>
  <si>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</si>
  <si>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</si>
  <si>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</si>
  <si>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</si>
  <si>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</si>
  <si>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</si>
  <si>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</si>
  <si>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</si>
  <si>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</si>
  <si>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</si>
  <si>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</si>
  <si>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</si>
  <si>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</si>
  <si>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</si>
  <si>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</si>
  <si>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</si>
  <si>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</si>
  <si>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</si>
  <si>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</si>
  <si>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</si>
  <si>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</si>
  <si>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</si>
  <si>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</si>
  <si>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</si>
  <si>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</si>
  <si>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</si>
  <si>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</si>
  <si>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</si>
  <si>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</si>
  <si>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</si>
  <si>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</si>
  <si>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</si>
  <si>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</si>
  <si>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</si>
  <si>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</si>
  <si>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</si>
  <si>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</si>
  <si>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</si>
  <si>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</si>
  <si>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</si>
  <si>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</si>
  <si>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</si>
  <si>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</si>
  <si>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</si>
  <si>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</si>
  <si>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</si>
  <si>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</si>
  <si>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</si>
  <si>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</si>
  <si>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</si>
  <si>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</si>
  <si>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</si>
  <si>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</si>
  <si>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</si>
  <si>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</si>
  <si>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</si>
  <si>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</si>
  <si>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</si>
  <si>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</si>
  <si>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</si>
  <si>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</si>
  <si>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</si>
  <si>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</si>
  <si>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</si>
  <si>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</si>
  <si>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</si>
  <si>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</si>
  <si>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</si>
  <si>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</si>
  <si>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</si>
  <si>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</si>
  <si>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</si>
  <si>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</si>
  <si>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</si>
  <si>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</si>
  <si>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</si>
  <si>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</si>
  <si>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</si>
  <si>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</si>
  <si>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</si>
  <si>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</si>
  <si>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</si>
  <si>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</si>
  <si>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</si>
  <si>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</si>
  <si>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</si>
  <si>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</si>
  <si>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</si>
  <si>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</si>
  <si>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</si>
  <si>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</si>
  <si>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</si>
  <si>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</si>
  <si>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</si>
  <si>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</si>
  <si>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</si>
  <si>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</si>
  <si>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</si>
  <si>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</si>
  <si>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</si>
  <si>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</si>
  <si>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</si>
  <si>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</si>
  <si>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</si>
  <si>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</si>
  <si>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</si>
  <si>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</si>
  <si>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</si>
  <si>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</si>
  <si>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</si>
  <si>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</si>
  <si>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</si>
  <si>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</si>
  <si>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</si>
  <si>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</si>
  <si>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</si>
  <si>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</si>
  <si>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</si>
  <si>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</si>
  <si>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</si>
  <si>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</si>
  <si>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</si>
  <si>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</si>
  <si>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</si>
  <si>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</si>
  <si>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</si>
  <si>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</si>
  <si>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</si>
  <si>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</si>
  <si>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</si>
  <si>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</si>
  <si>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</si>
  <si>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</si>
  <si>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</si>
  <si>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</si>
  <si>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</si>
  <si>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</si>
  <si>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</si>
  <si>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</si>
  <si>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</si>
  <si>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</si>
  <si>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</si>
  <si>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</si>
  <si>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</si>
  <si>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</si>
  <si>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</si>
  <si>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</si>
  <si>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</si>
  <si>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</si>
  <si>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</si>
  <si>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</si>
  <si>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</si>
  <si>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</si>
  <si>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</si>
  <si>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</si>
  <si>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</si>
  <si>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</si>
  <si>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</si>
  <si>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</si>
  <si>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</si>
  <si>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</si>
  <si>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</si>
  <si>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</si>
  <si>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</si>
  <si>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</si>
  <si>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</si>
  <si>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</si>
  <si>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</si>
  <si>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</si>
  <si>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</si>
  <si>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</si>
  <si>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</si>
  <si>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</si>
  <si>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</si>
  <si>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</si>
  <si>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</si>
  <si>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</si>
  <si>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</si>
  <si>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</si>
  <si>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</si>
  <si>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</si>
  <si>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</si>
  <si>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</si>
  <si>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</si>
  <si>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</si>
  <si>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</si>
  <si>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</si>
  <si>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</si>
  <si>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</si>
  <si>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</si>
  <si>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</si>
  <si>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</si>
  <si>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</si>
  <si>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</si>
  <si>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</si>
  <si>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</si>
  <si>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</si>
  <si>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</si>
  <si>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</si>
  <si>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</si>
  <si>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</si>
  <si>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</si>
  <si>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</si>
  <si>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</si>
  <si>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</si>
  <si>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</si>
  <si>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</si>
  <si>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</si>
  <si>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</si>
  <si>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</si>
  <si>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</si>
  <si>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</si>
  <si>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</si>
  <si>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</si>
  <si>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</si>
  <si>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</si>
  <si>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</si>
  <si>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</si>
  <si>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</si>
  <si>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</si>
  <si>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</si>
  <si>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</si>
  <si>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</si>
  <si>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</si>
  <si>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</si>
  <si>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</si>
  <si>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</si>
  <si>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</si>
  <si>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</si>
  <si>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</si>
  <si>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</si>
  <si>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</si>
  <si>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</si>
  <si>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</si>
  <si>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</si>
  <si>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</si>
  <si>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</si>
  <si>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Sum of Unit Price</t>
  </si>
  <si>
    <t>Average of Rating C</t>
  </si>
  <si>
    <t>Average of Days to Deliver</t>
  </si>
  <si>
    <t>value for Display</t>
  </si>
  <si>
    <t>Qty</t>
  </si>
  <si>
    <t>Avg.Rating</t>
  </si>
  <si>
    <t>Avg.Days</t>
  </si>
  <si>
    <t>Row Labels</t>
  </si>
  <si>
    <t>Grand Total</t>
  </si>
  <si>
    <t>Column Labels</t>
  </si>
  <si>
    <t>Unkown</t>
  </si>
  <si>
    <t>Female</t>
  </si>
  <si>
    <t>Male</t>
  </si>
  <si>
    <t>Other</t>
  </si>
  <si>
    <t>5 to 9</t>
  </si>
  <si>
    <t>More than</t>
  </si>
  <si>
    <t>Map chart for Stuff(QTY)</t>
  </si>
  <si>
    <t>Map Chart for amount</t>
  </si>
  <si>
    <t>Jan</t>
  </si>
  <si>
    <t>Feb</t>
  </si>
  <si>
    <t>Mar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</si>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</sst>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2" tint="-0.249977111117893"/>
        <bgColor indexed="64"/>
      </patternFill>
    </fill>
  </fills>
  <borders count="12">
    <border>
      <left/>
      <right/>
      <top/>
      <bottom/>
      <diagonal/>
    </border>
    <border>
      <left/>
      <right/>
      <top/>
      <bottom style="thin">
        <color theme="0" tint="-0.34998626667073579"/>
      </bottom>
      <diagonal/>
    </border>
    <border>
      <left/>
      <right/>
      <top style="thin">
        <color theme="0" tint="-0.34998626667073579"/>
      </top>
      <bottom/>
      <diagonal/>
    </border>
    <border>
      <left/>
      <right style="thick">
        <color theme="0" tint="-4.9989318521683403E-2"/>
      </right>
      <top/>
      <bottom style="thick">
        <color theme="0" tint="-4.9989318521683403E-2"/>
      </bottom>
      <diagonal/>
    </border>
    <border>
      <left style="thick">
        <color theme="0" tint="-4.9989318521683403E-2"/>
      </left>
      <right style="thick">
        <color theme="0" tint="-4.9989318521683403E-2"/>
      </right>
      <top/>
      <bottom style="thick">
        <color theme="0" tint="-4.9989318521683403E-2"/>
      </bottom>
      <diagonal/>
    </border>
    <border>
      <left style="thick">
        <color theme="0" tint="-4.9989318521683403E-2"/>
      </left>
      <right/>
      <top/>
      <bottom style="thick">
        <color theme="0" tint="-4.9989318521683403E-2"/>
      </bottom>
      <diagonal/>
    </border>
    <border>
      <left/>
      <right style="thick">
        <color theme="0" tint="-4.9989318521683403E-2"/>
      </right>
      <top style="thick">
        <color theme="0" tint="-4.9989318521683403E-2"/>
      </top>
      <bottom style="thick">
        <color theme="0" tint="-4.9989318521683403E-2"/>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style="thick">
        <color theme="0" tint="-4.9989318521683403E-2"/>
      </left>
      <right/>
      <top style="thick">
        <color theme="0" tint="-4.9989318521683403E-2"/>
      </top>
      <bottom style="thick">
        <color theme="0" tint="-4.9989318521683403E-2"/>
      </bottom>
      <diagonal/>
    </border>
    <border>
      <left/>
      <right style="thick">
        <color theme="0" tint="-4.9989318521683403E-2"/>
      </right>
      <top style="thick">
        <color theme="0" tint="-4.9989318521683403E-2"/>
      </top>
      <bottom/>
      <diagonal/>
    </border>
    <border>
      <left style="thick">
        <color theme="0" tint="-4.9989318521683403E-2"/>
      </left>
      <right style="thick">
        <color theme="0" tint="-4.9989318521683403E-2"/>
      </right>
      <top style="thick">
        <color theme="0" tint="-4.9989318521683403E-2"/>
      </top>
      <bottom/>
      <diagonal/>
    </border>
    <border>
      <left style="thick">
        <color theme="0" tint="-4.9989318521683403E-2"/>
      </left>
      <right/>
      <top style="thick">
        <color theme="0" tint="-4.9989318521683403E-2"/>
      </top>
      <bottom/>
      <diagonal/>
    </border>
  </borders>
  <cellStyleXfs count="1">
    <xf numFmtId="0" fontId="0" fillId="0" borderId="0"/>
  </cellStyleXfs>
  <cellXfs count="31">
    <xf numFmtId="0" fontId="0" fillId="0" borderId="0" xfId="0"/>
    <xf numFmtId="0" fontId="0" fillId="2" borderId="0" xfId="0" applyFill="1"/>
    <xf numFmtId="0" fontId="1" fillId="2" borderId="0" xfId="0" applyFont="1" applyFill="1"/>
    <xf numFmtId="0" fontId="0" fillId="0" borderId="0" xfId="0" applyAlignment="1">
      <alignment horizontal="left" indent="1"/>
    </xf>
    <xf numFmtId="15" fontId="0" fillId="0" borderId="0" xfId="0" applyNumberFormat="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0" fontId="1" fillId="3" borderId="2" xfId="0" applyFont="1" applyFill="1" applyBorder="1"/>
    <xf numFmtId="164" fontId="1" fillId="3" borderId="2" xfId="0" applyNumberFormat="1" applyFont="1" applyFill="1" applyBorder="1"/>
    <xf numFmtId="10" fontId="0" fillId="0" borderId="0" xfId="0" applyNumberFormat="1"/>
    <xf numFmtId="165" fontId="0" fillId="0" borderId="0" xfId="0" applyNumberFormat="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165" fontId="0" fillId="0" borderId="10" xfId="0" applyNumberFormat="1" applyBorder="1"/>
    <xf numFmtId="165" fontId="0" fillId="0" borderId="11" xfId="0" applyNumberFormat="1" applyBorder="1"/>
    <xf numFmtId="0" fontId="1" fillId="4" borderId="1" xfId="0" applyFont="1" applyFill="1" applyBorder="1"/>
    <xf numFmtId="164" fontId="1" fillId="4" borderId="1" xfId="0" applyNumberFormat="1" applyFont="1" applyFill="1" applyBorder="1"/>
    <xf numFmtId="0" fontId="0" fillId="0" borderId="0" xfId="0" applyAlignment="1">
      <alignment horizontal="center"/>
    </xf>
    <xf numFmtId="0" fontId="0" fillId="0" borderId="0" xfId="0" applyNumberFormat="1"/>
    <xf numFmtId="0" fontId="0" fillId="0" borderId="0" xfId="0" applyFill="1"/>
    <xf numFmtId="0" fontId="0" fillId="0" borderId="0" xfId="0" applyFill="1" applyAlignment="1">
      <alignment horizontal="center"/>
    </xf>
    <xf numFmtId="0" fontId="0" fillId="5" borderId="0" xfId="0" applyFill="1"/>
    <xf numFmtId="0" fontId="0" fillId="5" borderId="0" xfId="0" applyFill="1" applyAlignment="1">
      <alignment horizontal="center"/>
    </xf>
    <xf numFmtId="0" fontId="0" fillId="5" borderId="0" xfId="0" applyFill="1" applyAlignment="1">
      <alignment horizontal="center"/>
    </xf>
  </cellXfs>
  <cellStyles count="1">
    <cellStyle name="Normal" xfId="0" builtinId="0"/>
  </cellStyles>
  <dxfs count="7">
    <dxf>
      <numFmt numFmtId="164" formatCode="&quot;₹&quot;\ #,##0"/>
    </dxf>
    <dxf>
      <numFmt numFmtId="164" formatCode="&quot;₹&quot;\ #,##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9DA10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Last</a:t>
            </a:r>
            <a:r>
              <a:rPr lang="en-IN" baseline="0"/>
              <a:t> 13 Weeks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99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Quantity</c:v>
                </c:pt>
              </c:strCache>
            </c:strRef>
          </c:tx>
          <c:spPr>
            <a:ln w="28575" cap="rnd">
              <a:solidFill>
                <a:schemeClr val="accent6">
                  <a:lumMod val="75000"/>
                </a:schemeClr>
              </a:solidFill>
              <a:round/>
            </a:ln>
            <a:effectLst/>
          </c:spPr>
          <c:marker>
            <c:symbol val="none"/>
          </c:marker>
          <c:cat>
            <c:strRef>
              <c:f>Sheet1!$A$17:$A$30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Sheet1!$B$17:$B$30</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5DD-4DE2-924A-3BCD078F3491}"/>
            </c:ext>
          </c:extLst>
        </c:ser>
        <c:dLbls>
          <c:showLegendKey val="0"/>
          <c:showVal val="0"/>
          <c:showCatName val="0"/>
          <c:showSerName val="0"/>
          <c:showPercent val="0"/>
          <c:showBubbleSize val="0"/>
        </c:dLbls>
        <c:marker val="1"/>
        <c:smooth val="0"/>
        <c:axId val="1686506895"/>
        <c:axId val="1686502575"/>
      </c:lineChart>
      <c:lineChart>
        <c:grouping val="standard"/>
        <c:varyColors val="0"/>
        <c:ser>
          <c:idx val="1"/>
          <c:order val="1"/>
          <c:tx>
            <c:strRef>
              <c:f>Sheet1!$C$16</c:f>
              <c:strCache>
                <c:ptCount val="1"/>
                <c:pt idx="0">
                  <c:v>Sum of Amount</c:v>
                </c:pt>
              </c:strCache>
            </c:strRef>
          </c:tx>
          <c:spPr>
            <a:ln w="28575" cap="rnd">
              <a:solidFill>
                <a:srgbClr val="FF9933"/>
              </a:solidFill>
              <a:round/>
            </a:ln>
            <a:effectLst/>
          </c:spPr>
          <c:marker>
            <c:symbol val="none"/>
          </c:marker>
          <c:cat>
            <c:strRef>
              <c:f>Sheet1!$A$17:$A$30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Sheet1!$C$17:$C$30</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5DD-4DE2-924A-3BCD078F3491}"/>
            </c:ext>
          </c:extLst>
        </c:ser>
        <c:dLbls>
          <c:showLegendKey val="0"/>
          <c:showVal val="0"/>
          <c:showCatName val="0"/>
          <c:showSerName val="0"/>
          <c:showPercent val="0"/>
          <c:showBubbleSize val="0"/>
        </c:dLbls>
        <c:marker val="1"/>
        <c:smooth val="0"/>
        <c:axId val="1999213055"/>
        <c:axId val="1999217375"/>
      </c:lineChart>
      <c:catAx>
        <c:axId val="16865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02575"/>
        <c:crosses val="autoZero"/>
        <c:auto val="1"/>
        <c:lblAlgn val="ctr"/>
        <c:lblOffset val="100"/>
        <c:noMultiLvlLbl val="0"/>
      </c:catAx>
      <c:valAx>
        <c:axId val="168650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06895"/>
        <c:crosses val="autoZero"/>
        <c:crossBetween val="between"/>
      </c:valAx>
      <c:valAx>
        <c:axId val="1999217375"/>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13055"/>
        <c:crosses val="max"/>
        <c:crossBetween val="between"/>
      </c:valAx>
      <c:catAx>
        <c:axId val="1999213055"/>
        <c:scaling>
          <c:orientation val="minMax"/>
        </c:scaling>
        <c:delete val="1"/>
        <c:axPos val="b"/>
        <c:numFmt formatCode="General" sourceLinked="1"/>
        <c:majorTickMark val="out"/>
        <c:minorTickMark val="none"/>
        <c:tickLblPos val="nextTo"/>
        <c:crossAx val="1999217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[ecommerce-blank.xlsx]Sheet4!PivotTable5</c:name>
    <c:fmtId val="28"/>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C000">
              <a:alpha val="40000"/>
            </a:srgbClr>
          </a:solidFill>
          <a:ln>
            <a:solidFill>
              <a:srgbClr val="FFFF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C000">
              <a:alpha val="40000"/>
            </a:srgbClr>
          </a:solidFill>
          <a:ln>
            <a:solidFill>
              <a:srgbClr val="FFFF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alpha val="40000"/>
            </a:srgb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49816341019235E-2"/>
          <c:y val="0.13753944550034697"/>
          <c:w val="0.617016532273295"/>
          <c:h val="0.79588460375343106"/>
        </c:manualLayout>
      </c:layout>
      <c:barChart>
        <c:barDir val="bar"/>
        <c:grouping val="clustered"/>
        <c:varyColors val="0"/>
        <c:ser>
          <c:idx val="0"/>
          <c:order val="0"/>
          <c:tx>
            <c:strRef>
              <c:f>Sheet4!$B$33:$B$34</c:f>
              <c:strCache>
                <c:ptCount val="1"/>
              </c:strCache>
            </c:strRef>
          </c:tx>
          <c:spPr>
            <a:solidFill>
              <a:schemeClr val="accent1"/>
            </a:solidFill>
            <a:ln>
              <a:noFill/>
            </a:ln>
            <a:effectLst/>
          </c:spPr>
          <c:invertIfNegative val="0"/>
          <c:cat>
            <c:strRef>
              <c:f>Sheet4!$A$35:$A$55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Sheet4!$B$35:$B$55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8245-433F-9D61-C72EA21603B0}"/>
            </c:ext>
          </c:extLst>
        </c:ser>
        <c:ser>
          <c:idx val="1"/>
          <c:order val="1"/>
          <c:tx>
            <c:strRef>
              <c:f>Sheet4!$C$33:$C$34</c:f>
              <c:strCache>
                <c:ptCount val="1"/>
                <c:pt idx="0">
                  <c:v>F</c:v>
                </c:pt>
              </c:strCache>
            </c:strRef>
          </c:tx>
          <c:spPr>
            <a:solidFill>
              <a:srgbClr val="FFC000">
                <a:alpha val="40000"/>
              </a:srgbClr>
            </a:solidFill>
            <a:ln>
              <a:solidFill>
                <a:srgbClr val="FFFF00"/>
              </a:solidFill>
            </a:ln>
            <a:effectLst/>
          </c:spPr>
          <c:invertIfNegative val="0"/>
          <c:cat>
            <c:strRef>
              <c:f>Sheet4!$A$35:$A$55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Sheet4!$C$35:$C$55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19-E25B-4308-861D-A4BEAD096F8D}"/>
            </c:ext>
          </c:extLst>
        </c:ser>
        <c:ser>
          <c:idx val="2"/>
          <c:order val="2"/>
          <c:tx>
            <c:strRef>
              <c:f>Sheet4!$D$33:$D$34</c:f>
              <c:strCache>
                <c:ptCount val="1"/>
                <c:pt idx="0">
                  <c:v>M</c:v>
                </c:pt>
              </c:strCache>
            </c:strRef>
          </c:tx>
          <c:spPr>
            <a:solidFill>
              <a:schemeClr val="tx2">
                <a:lumMod val="50000"/>
                <a:lumOff val="50000"/>
              </a:schemeClr>
            </a:solidFill>
            <a:ln>
              <a:noFill/>
            </a:ln>
            <a:effectLst/>
          </c:spPr>
          <c:invertIfNegative val="0"/>
          <c:cat>
            <c:strRef>
              <c:f>Sheet4!$A$35:$A$55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Sheet4!$D$35:$D$55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A-E25B-4308-861D-A4BEAD096F8D}"/>
            </c:ext>
          </c:extLst>
        </c:ser>
        <c:ser>
          <c:idx val="3"/>
          <c:order val="3"/>
          <c:tx>
            <c:strRef>
              <c:f>Sheet4!$E$33:$E$34</c:f>
              <c:strCache>
                <c:ptCount val="1"/>
                <c:pt idx="0">
                  <c:v>O</c:v>
                </c:pt>
              </c:strCache>
            </c:strRef>
          </c:tx>
          <c:spPr>
            <a:solidFill>
              <a:schemeClr val="accent4"/>
            </a:solidFill>
            <a:ln>
              <a:noFill/>
            </a:ln>
            <a:effectLst/>
          </c:spPr>
          <c:invertIfNegative val="0"/>
          <c:cat>
            <c:strRef>
              <c:f>Sheet4!$A$35:$A$55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Sheet4!$E$35:$E$55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B-E25B-4308-861D-A4BEAD096F8D}"/>
            </c:ext>
          </c:extLst>
        </c:ser>
        <c:dLbls>
          <c:showLegendKey val="0"/>
          <c:showVal val="0"/>
          <c:showCatName val="0"/>
          <c:showSerName val="0"/>
          <c:showPercent val="0"/>
          <c:showBubbleSize val="0"/>
        </c:dLbls>
        <c:gapWidth val="70"/>
        <c:overlap val="100"/>
        <c:axId val="1999284095"/>
        <c:axId val="1999284575"/>
      </c:barChart>
      <c:catAx>
        <c:axId val="1999284095"/>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99284575"/>
        <c:crosses val="autoZero"/>
        <c:auto val="1"/>
        <c:lblAlgn val="ctr"/>
        <c:lblOffset val="100"/>
        <c:noMultiLvlLbl val="0"/>
      </c:catAx>
      <c:valAx>
        <c:axId val="1999284575"/>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Which product are</a:t>
                </a:r>
                <a:r>
                  <a:rPr lang="en-IN" sz="1050" b="1" baseline="0"/>
                  <a:t> popular? </a:t>
                </a:r>
                <a:r>
                  <a:rPr lang="en-IN" sz="1050" b="1"/>
                  <a:t>Breakdown</a:t>
                </a:r>
                <a:r>
                  <a:rPr lang="en-IN" sz="1050" b="1" baseline="0"/>
                  <a:t> by Gneder</a:t>
                </a:r>
                <a:endParaRPr lang="en-IN" sz="1050" b="1"/>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84095"/>
        <c:crosses val="autoZero"/>
        <c:crossBetween val="between"/>
      </c:valAx>
      <c:spPr>
        <a:noFill/>
        <a:ln>
          <a:noFill/>
        </a:ln>
        <a:effectLst>
          <a:glow rad="825500">
            <a:srgbClr val="FFC000">
              <a:alpha val="84000"/>
            </a:srgb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[ecommerce-blank.xlsx]Sheet4!PivotTable6</c:name>
    <c:fmtId val="4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rgbClr val="FFFF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0070C0"/>
          </a:solidFill>
          <a:ln w="19050">
            <a:solidFill>
              <a:schemeClr val="lt1"/>
            </a:solidFill>
          </a:ln>
          <a:effectLst/>
        </c:spPr>
      </c:pivotFmt>
      <c:pivotFmt>
        <c:idx val="6"/>
        <c:spPr>
          <a:solidFill>
            <a:srgbClr val="FFFF0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4"/>
          </a:solidFill>
          <a:ln w="19050">
            <a:solidFill>
              <a:schemeClr val="lt1"/>
            </a:solidFill>
          </a:ln>
          <a:effectLst/>
        </c:spPr>
      </c:pivotFmt>
    </c:pivotFmts>
    <c:plotArea>
      <c:layout/>
      <c:pieChart>
        <c:varyColors val="1"/>
        <c:ser>
          <c:idx val="0"/>
          <c:order val="0"/>
          <c:tx>
            <c:strRef>
              <c:f>Sheet4!$J$34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2E-4310-88C3-24A2F3E4EB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2E-4310-88C3-24A2F3E4EB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2E-4310-88C3-24A2F3E4EB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2E-4310-88C3-24A2F3E4EB21}"/>
              </c:ext>
            </c:extLst>
          </c:dPt>
          <c:dLbls>
            <c:delete val="1"/>
          </c:dLbls>
          <c:cat>
            <c:strRef>
              <c:f>Sheet4!$I$35:$I$39</c:f>
              <c:strCache>
                <c:ptCount val="4"/>
                <c:pt idx="0">
                  <c:v>Female</c:v>
                </c:pt>
                <c:pt idx="1">
                  <c:v>Male</c:v>
                </c:pt>
                <c:pt idx="2">
                  <c:v>Other</c:v>
                </c:pt>
                <c:pt idx="3">
                  <c:v>Unknown</c:v>
                </c:pt>
              </c:strCache>
            </c:strRef>
          </c:cat>
          <c:val>
            <c:numRef>
              <c:f>Sheet4!$J$35:$J$39</c:f>
              <c:numCache>
                <c:formatCode>0.00%</c:formatCode>
                <c:ptCount val="4"/>
                <c:pt idx="0">
                  <c:v>0.51788079367671935</c:v>
                </c:pt>
                <c:pt idx="1">
                  <c:v>0.39169616545433245</c:v>
                </c:pt>
                <c:pt idx="2">
                  <c:v>3.1789797818805608E-2</c:v>
                </c:pt>
                <c:pt idx="3">
                  <c:v>5.863324305014244E-2</c:v>
                </c:pt>
              </c:numCache>
            </c:numRef>
          </c:val>
          <c:extLst>
            <c:ext xmlns:c16="http://schemas.microsoft.com/office/drawing/2014/chart" uri="{C3380CC4-5D6E-409C-BE32-E72D297353CC}">
              <c16:uniqueId val="{00000008-1B2E-4310-88C3-24A2F3E4EB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How Many they buy?</a:t>
            </a:r>
          </a:p>
        </c:rich>
      </c:tx>
      <c:layout>
        <c:manualLayout>
          <c:xMode val="edge"/>
          <c:yMode val="edge"/>
          <c:x val="0.34285364310929062"/>
          <c:y val="6.00106395674982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Sheet4!$A$19:$A$25</c:f>
              <c:strCache>
                <c:ptCount val="6"/>
                <c:pt idx="0">
                  <c:v>1</c:v>
                </c:pt>
                <c:pt idx="1">
                  <c:v>2</c:v>
                </c:pt>
                <c:pt idx="2">
                  <c:v>3</c:v>
                </c:pt>
                <c:pt idx="3">
                  <c:v>4</c:v>
                </c:pt>
                <c:pt idx="4">
                  <c:v>5 to 9</c:v>
                </c:pt>
                <c:pt idx="5">
                  <c:v>More than</c:v>
                </c:pt>
              </c:strCache>
            </c:strRef>
          </c:cat>
          <c:val>
            <c:numRef>
              <c:f>Sheet4!$B$19:$B$25</c:f>
              <c:numCache>
                <c:formatCode>General</c:formatCode>
                <c:ptCount val="6"/>
                <c:pt idx="0">
                  <c:v>397</c:v>
                </c:pt>
                <c:pt idx="1">
                  <c:v>540</c:v>
                </c:pt>
                <c:pt idx="2">
                  <c:v>375</c:v>
                </c:pt>
                <c:pt idx="3">
                  <c:v>246</c:v>
                </c:pt>
                <c:pt idx="4">
                  <c:v>556</c:v>
                </c:pt>
                <c:pt idx="5">
                  <c:v>286</c:v>
                </c:pt>
              </c:numCache>
            </c:numRef>
          </c:val>
          <c:extLst>
            <c:ext xmlns:c16="http://schemas.microsoft.com/office/drawing/2014/chart" uri="{C3380CC4-5D6E-409C-BE32-E72D297353CC}">
              <c16:uniqueId val="{00000000-9E86-49C3-A0A1-4CBFD38B8279}"/>
            </c:ext>
          </c:extLst>
        </c:ser>
        <c:dLbls>
          <c:dLblPos val="outEnd"/>
          <c:showLegendKey val="0"/>
          <c:showVal val="1"/>
          <c:showCatName val="0"/>
          <c:showSerName val="0"/>
          <c:showPercent val="0"/>
          <c:showBubbleSize val="0"/>
        </c:dLbls>
        <c:gapWidth val="219"/>
        <c:overlap val="-27"/>
        <c:axId val="1999204895"/>
        <c:axId val="1999205375"/>
      </c:barChart>
      <c:catAx>
        <c:axId val="199920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05375"/>
        <c:crosses val="autoZero"/>
        <c:auto val="1"/>
        <c:lblAlgn val="ctr"/>
        <c:lblOffset val="100"/>
        <c:noMultiLvlLbl val="0"/>
      </c:catAx>
      <c:valAx>
        <c:axId val="1999205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0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[ecommerce-blank.xlsx]sheet3!PivotTable10</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How many</a:t>
            </a:r>
            <a:r>
              <a:rPr lang="en-IN" b="1" baseline="0"/>
              <a:t> we take to ship?</a:t>
            </a:r>
            <a:endParaRPr lang="en-IN" b="1"/>
          </a:p>
        </c:rich>
      </c:tx>
      <c:layout>
        <c:manualLayout>
          <c:xMode val="edge"/>
          <c:yMode val="edge"/>
          <c:x val="0.2876352714455091"/>
          <c:y val="0.1125026858630423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sheet3!$B$4:$B$19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C76-4593-A3FD-1ADFEA9C421C}"/>
            </c:ext>
          </c:extLst>
        </c:ser>
        <c:dLbls>
          <c:showLegendKey val="0"/>
          <c:showVal val="1"/>
          <c:showCatName val="0"/>
          <c:showSerName val="0"/>
          <c:showPercent val="0"/>
          <c:showBubbleSize val="0"/>
        </c:dLbls>
        <c:gapWidth val="150"/>
        <c:shape val="box"/>
        <c:axId val="1999257695"/>
        <c:axId val="1999258175"/>
        <c:axId val="0"/>
      </c:bar3DChart>
      <c:catAx>
        <c:axId val="199925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58175"/>
        <c:crosses val="autoZero"/>
        <c:auto val="1"/>
        <c:lblAlgn val="ctr"/>
        <c:lblOffset val="100"/>
        <c:noMultiLvlLbl val="0"/>
      </c:catAx>
      <c:valAx>
        <c:axId val="199925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5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[ecommerce-blank.xlsx]sheet3!PivotTable12</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How</a:t>
            </a:r>
            <a:r>
              <a:rPr lang="en-IN" baseline="0"/>
              <a:t> Satisfied our Customer?</a:t>
            </a:r>
            <a:endParaRPr lang="en-IN"/>
          </a:p>
        </c:rich>
      </c:tx>
      <c:layout>
        <c:manualLayout>
          <c:xMode val="edge"/>
          <c:yMode val="edge"/>
          <c:x val="0.26288700754527544"/>
          <c:y val="8.51038653993624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sheet3!$B$22:$B$23</c:f>
              <c:strCache>
                <c:ptCount val="1"/>
                <c:pt idx="0">
                  <c:v>1</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sheet3!$A$24:$A$27</c:f>
              <c:strCache>
                <c:ptCount val="3"/>
                <c:pt idx="0">
                  <c:v>Jan</c:v>
                </c:pt>
                <c:pt idx="1">
                  <c:v>Feb</c:v>
                </c:pt>
                <c:pt idx="2">
                  <c:v>Mar</c:v>
                </c:pt>
              </c:strCache>
            </c:strRef>
          </c:cat>
          <c:val>
            <c:numRef>
              <c:f>sheet3!$B$24:$B$27</c:f>
              <c:numCache>
                <c:formatCode>General</c:formatCode>
                <c:ptCount val="3"/>
                <c:pt idx="0">
                  <c:v>7</c:v>
                </c:pt>
                <c:pt idx="1">
                  <c:v>8</c:v>
                </c:pt>
                <c:pt idx="2">
                  <c:v>6</c:v>
                </c:pt>
              </c:numCache>
            </c:numRef>
          </c:val>
          <c:extLst>
            <c:ext xmlns:c16="http://schemas.microsoft.com/office/drawing/2014/chart" uri="{C3380CC4-5D6E-409C-BE32-E72D297353CC}">
              <c16:uniqueId val="{00000000-616C-466E-8497-26886FC95AC3}"/>
            </c:ext>
          </c:extLst>
        </c:ser>
        <c:ser>
          <c:idx val="1"/>
          <c:order val="1"/>
          <c:tx>
            <c:strRef>
              <c:f>sheet3!$C$22:$C$23</c:f>
              <c:strCache>
                <c:ptCount val="1"/>
                <c:pt idx="0">
                  <c:v>2</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sheet3!$A$24:$A$27</c:f>
              <c:strCache>
                <c:ptCount val="3"/>
                <c:pt idx="0">
                  <c:v>Jan</c:v>
                </c:pt>
                <c:pt idx="1">
                  <c:v>Feb</c:v>
                </c:pt>
                <c:pt idx="2">
                  <c:v>Mar</c:v>
                </c:pt>
              </c:strCache>
            </c:strRef>
          </c:cat>
          <c:val>
            <c:numRef>
              <c:f>sheet3!$C$24:$C$27</c:f>
              <c:numCache>
                <c:formatCode>General</c:formatCode>
                <c:ptCount val="3"/>
                <c:pt idx="0">
                  <c:v>37</c:v>
                </c:pt>
                <c:pt idx="1">
                  <c:v>51</c:v>
                </c:pt>
                <c:pt idx="2">
                  <c:v>39</c:v>
                </c:pt>
              </c:numCache>
            </c:numRef>
          </c:val>
          <c:extLst>
            <c:ext xmlns:c16="http://schemas.microsoft.com/office/drawing/2014/chart" uri="{C3380CC4-5D6E-409C-BE32-E72D297353CC}">
              <c16:uniqueId val="{00000001-616C-466E-8497-26886FC95AC3}"/>
            </c:ext>
          </c:extLst>
        </c:ser>
        <c:ser>
          <c:idx val="2"/>
          <c:order val="2"/>
          <c:tx>
            <c:strRef>
              <c:f>sheet3!$D$22:$D$23</c:f>
              <c:strCache>
                <c:ptCount val="1"/>
                <c:pt idx="0">
                  <c:v>3</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sheet3!$A$24:$A$27</c:f>
              <c:strCache>
                <c:ptCount val="3"/>
                <c:pt idx="0">
                  <c:v>Jan</c:v>
                </c:pt>
                <c:pt idx="1">
                  <c:v>Feb</c:v>
                </c:pt>
                <c:pt idx="2">
                  <c:v>Mar</c:v>
                </c:pt>
              </c:strCache>
            </c:strRef>
          </c:cat>
          <c:val>
            <c:numRef>
              <c:f>sheet3!$D$24:$D$27</c:f>
              <c:numCache>
                <c:formatCode>General</c:formatCode>
                <c:ptCount val="3"/>
                <c:pt idx="0">
                  <c:v>150</c:v>
                </c:pt>
                <c:pt idx="1">
                  <c:v>182</c:v>
                </c:pt>
                <c:pt idx="2">
                  <c:v>163</c:v>
                </c:pt>
              </c:numCache>
            </c:numRef>
          </c:val>
          <c:extLst>
            <c:ext xmlns:c16="http://schemas.microsoft.com/office/drawing/2014/chart" uri="{C3380CC4-5D6E-409C-BE32-E72D297353CC}">
              <c16:uniqueId val="{00000002-616C-466E-8497-26886FC95AC3}"/>
            </c:ext>
          </c:extLst>
        </c:ser>
        <c:ser>
          <c:idx val="3"/>
          <c:order val="3"/>
          <c:tx>
            <c:strRef>
              <c:f>sheet3!$E$22:$E$23</c:f>
              <c:strCache>
                <c:ptCount val="1"/>
                <c:pt idx="0">
                  <c:v>4</c:v>
                </c:pt>
              </c:strCache>
            </c:strRef>
          </c:tx>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sheet3!$A$24:$A$27</c:f>
              <c:strCache>
                <c:ptCount val="3"/>
                <c:pt idx="0">
                  <c:v>Jan</c:v>
                </c:pt>
                <c:pt idx="1">
                  <c:v>Feb</c:v>
                </c:pt>
                <c:pt idx="2">
                  <c:v>Mar</c:v>
                </c:pt>
              </c:strCache>
            </c:strRef>
          </c:cat>
          <c:val>
            <c:numRef>
              <c:f>sheet3!$E$24:$E$27</c:f>
              <c:numCache>
                <c:formatCode>General</c:formatCode>
                <c:ptCount val="3"/>
                <c:pt idx="0">
                  <c:v>312</c:v>
                </c:pt>
                <c:pt idx="1">
                  <c:v>373</c:v>
                </c:pt>
                <c:pt idx="2">
                  <c:v>351</c:v>
                </c:pt>
              </c:numCache>
            </c:numRef>
          </c:val>
          <c:extLst>
            <c:ext xmlns:c16="http://schemas.microsoft.com/office/drawing/2014/chart" uri="{C3380CC4-5D6E-409C-BE32-E72D297353CC}">
              <c16:uniqueId val="{00000003-616C-466E-8497-26886FC95AC3}"/>
            </c:ext>
          </c:extLst>
        </c:ser>
        <c:ser>
          <c:idx val="4"/>
          <c:order val="4"/>
          <c:tx>
            <c:strRef>
              <c:f>sheet3!$F$22:$F$23</c:f>
              <c:strCache>
                <c:ptCount val="1"/>
                <c:pt idx="0">
                  <c:v>5</c:v>
                </c:pt>
              </c:strCache>
            </c:strRef>
          </c:tx>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sheet3!$A$24:$A$27</c:f>
              <c:strCache>
                <c:ptCount val="3"/>
                <c:pt idx="0">
                  <c:v>Jan</c:v>
                </c:pt>
                <c:pt idx="1">
                  <c:v>Feb</c:v>
                </c:pt>
                <c:pt idx="2">
                  <c:v>Mar</c:v>
                </c:pt>
              </c:strCache>
            </c:strRef>
          </c:cat>
          <c:val>
            <c:numRef>
              <c:f>sheet3!$F$24:$F$27</c:f>
              <c:numCache>
                <c:formatCode>General</c:formatCode>
                <c:ptCount val="3"/>
                <c:pt idx="0">
                  <c:v>224</c:v>
                </c:pt>
                <c:pt idx="1">
                  <c:v>247</c:v>
                </c:pt>
                <c:pt idx="2">
                  <c:v>250</c:v>
                </c:pt>
              </c:numCache>
            </c:numRef>
          </c:val>
          <c:extLst>
            <c:ext xmlns:c16="http://schemas.microsoft.com/office/drawing/2014/chart" uri="{C3380CC4-5D6E-409C-BE32-E72D297353CC}">
              <c16:uniqueId val="{00000004-616C-466E-8497-26886FC95AC3}"/>
            </c:ext>
          </c:extLst>
        </c:ser>
        <c:dLbls>
          <c:dLblPos val="outEnd"/>
          <c:showLegendKey val="0"/>
          <c:showVal val="0"/>
          <c:showCatName val="0"/>
          <c:showSerName val="0"/>
          <c:showPercent val="0"/>
          <c:showBubbleSize val="0"/>
        </c:dLbls>
        <c:gapWidth val="100"/>
        <c:overlap val="-24"/>
        <c:axId val="503507439"/>
        <c:axId val="503505519"/>
      </c:barChart>
      <c:catAx>
        <c:axId val="503507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05519"/>
        <c:crosses val="autoZero"/>
        <c:auto val="1"/>
        <c:lblAlgn val="ctr"/>
        <c:lblOffset val="100"/>
        <c:noMultiLvlLbl val="0"/>
      </c:catAx>
      <c:valAx>
        <c:axId val="50350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0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00000000-14DD-4C42-AB52-169E2293D84E}">
          <cx:tx>
            <cx:txData>
              <cx:f>_xlchart.v5.2</cx:f>
              <cx:v>Sum of Quantity</cx:v>
            </cx:txData>
          </cx:tx>
          <cx:spPr>
            <a:effectLst>
              <a:softEdge rad="0"/>
            </a:effectLst>
          </cx:spPr>
          <cx:dataId val="0"/>
          <cx:layoutPr>
            <cx:geography cultureLanguage="en-US" cultureRegion="IN" attribution="Powered by Bing">
              <cx:geoCache provider="{E9337A44-BEBE-4D9F-B70C-5C5E7DAFC167}">
                <cx:binary>3H1Zc9s4Fu5fSeX50k0AJJap6alqUqsXeU3SzgtLsRWC+wLuv/4e2k7aouQMXRXVvSOl0902eaBD
fsDZcfDvh+ZfD+FmnX9oojBW/3po/vwoiyL91x9/qAe5idbqJPIe8kQl34uThyT6I/n+3XvY/PGY
r2svdv/AOjL+eJDrvNg0H//zbxjN3STnycO68JL4utzk7c1GlWGhfnFt76UP68fIiyeeKnLvoUB/
frTXofc9yWNv/XH7Gv7z4/k62HywkzIu2o8fNnHhFe1dm27+/Lg1CP744Y/hd+3w9SEE1ovyEYiJ
ONENgpguiP70gQHCJHZfLmsI4xOBTEQ5oz++drWOgHIsP0/crB8f841S8FBP/x1Qbz0BvIW//svT
P/RvoX/rLgDw58dPsVdsHj/cFutioz5+8FTy9Jry1k76R/x0+/RO/tjG7T//HvwC3tLgN6+gHb7S
/3ZpG73/giygvq42+VodAF5+ggTFCDP2Brz6CeW6wMQYwPsupvZjvDvECKB3iY4M7dt1/OE0WWel
Fx8Ab3YiTGYa2MDPeJPhckYnWGDDEMJ8ugFtL+p3Mrcf932DjEB+H9mRYf9XCKLzcX0Q3LlucMwp
EU8fNsQdn2CGDUZBvj8rj2cp/g6O9oM9HGAE0EOSIwO5n8ezfB0/eOoh+fG2f4eqZieM6zrjnD9j
LHYxhmWPTE7gymuQtzgaM/n2Q71/mBGA7yc8Mtj/ClMvPoSFxk+oICZFJgjt/sMHsCNxwuBjmszY
hn08R/vxHtCPAHpAcWQIg4EZeypcl4cw1NgJNXQGOL9lh6MTXccGIQzw31rc7+JqP9J7nmwE2nuo
jgzxv6L1Y5KPkZjv9Lr4CQFdrGMOS3bb3dJhMWMM3pjYZ5+NZ2g/0AP6ESAPKP4HAP41i1uP3Dtm
4Gw+L6c9Kvq9zjQ7waZBqUDP4OlgXW+hC6KaIoYZMtCzLP/x3c/GGPg+P93/t3naj+xr2q1nfH7E
X7+U/zmX+dZTgdcm5e9fmgY6YQRsKPzDkt5jZVEQ06ZOwbfaEsTv4Gk/hjtPtQfIrV9BWGiH5siQ
XkbpJvfW4e9HmuATJjA3Ify131dG5gngbJoIJHX/GfjK7+FsP947I2yBuz8QtkNzZHhbZVEcwooW
JyaCKJf+lhWN0YkJshshPIB5NEP7Md4mHwHwNsGRoXu3kevoAPEPQz+BVUp1E78o1j1SG9BHAPBz
YGwA8ni+9qM8oB8B84DiyHC+WOeHCm8yAwKc+kuYa+gLQ7bCJIhT1nvJr5XzaIb247tNPgLebYIj
Q/dskx8idm2eEPYkoZ/V7T7rWUdcIIIhuvka3LH87Md2i3oEtFv3HxmydhKW6gDyGdKMuM8yQRTr
2dbak2bUdU6oMMxtbMdztB/dAf0IfAcUR4bwap0eAl8OaSXIL4D19IzvTt4J8g9cgPnFBwmIsfzs
R3eLegS2W/cfGbJ2AknxHltVHAbhXvgKCEA+hy72qF5EDG4yNFC97+VrP9J7RxmB+F66I0P+Klw/
bA4TpuSCCWTwl3jWzqqGoDTr/Wf8PCcGeafxfO3HfEA/Au0BxZHhfJ6oD3/F7ibcHCIDYZyA+4QJ
N8z9CxyBjIf8g8GgWqj/DFyodzK3H/F9g4yAfR/ZkWE/2YQfVgmUoP3+QFgf8jQNSDv08r3/7BQP
GGC9GQSKBwbK+11M7Ud8d4gReO8SHRna0/DDJMkh+fT70Sb8hGFBTfziQoudUAmkoEQv9M29Yc93
sbYf890hRmC+S3RkmN8m4To+DODYBDgZe0ktg+DeykpB0EQ3BDf1YQ3geI724zygHwHygOLYEF7H
YJpb6/zb+slQL39zLa9xAvU/ffDrjSBon34UHMKg4Gc/fbZdbSjTeR97b6C+d5gx4O8lPL458MHa
QMXyIVY6PeEmrHVMXky4HdGOTgwd6xTi4DvQv4OrN3EfjjEO9CHVkSE+g8r3g8h12meqIUGJ3l7u
jJvwBw1iauM52o/0gH4EygOKI0P4Eqo93QMY5oSAJQaam9O3Sv8YLHgoFaJDZ2w8R/sRHtCPQHhA
cWQIz8NNfIiUB2SlsW4igUEeD20yJDiCgsCByzWak/3AbpOPwHWb4MhgvdjEj8mDdxDpLE5Qv2oZ
e4mI71jdBJxqRgnp3e3X2ax3MbUf5d0hRiC9S3RkaC/K6FsSPha/36eG8gPGwaoydtexcYIoIjps
zdhncr+Hpf1Q74wwAukdmiMD+tmRsfOy+/1QE3oiGBSS6OjFh9qTB4G6XtioIXZt7D4xM5Kr/Wjv
ebIReO+hOjLEl3F7IH9Kx6Ch2Yv9NfSnICQOtjelsCVnW4aP5Wc/ylvUI/Dduv/IkP0MqrE8ULQE
cyg50N9KaEK0BOrwkU71AbjvYGk/vsMBRkA8JDkylC8SsMN+v7CGzIYhdGGKH8J6x8zWT2CzLNSE
okEx92iG9iO8TT4C322CI0P3DLooHCJjSU+gFAyqTn5kLHfEM8Q74RoUpQxM7NEM7Ud3m3wEutsE
R4buRXIQ/wmyzbClkdMfm12HSclePIOdJaB1xbbuHcvPfmy3qEdAu3X/kSF7vlZqc4CwB7hLBmxn
5eKlSYG+U1cCXSngsgG5jG1sx3O0H90B/Qh8BxRHhvBqU60fD1EtBouTYgbW1Uu95w7CUDmEoNjT
GHpJ4znaj/CAfgTCA4ojQ/hi/QitZX6/adX7wRQSTRiK8X+UA21HMPUT2CJncNjquL2Gx3O0H+EB
/QiEBxTHhvAmf4D2R/Zvbw3FTohOBf2pgnciHSDGORJQD2b8mAHbccyxfL2B8/ZzjcF5m+LYcIY9
NWlykOp8BkAasJL5i0IexqrB1hLUYByDsbWncKDf7DKWszewHo4wBu0hzbHhDfXcm3zTHmBl0xPK
aF8P9NIVbI92piY1KBm2CwJrdzRPbyA9HGEM0kOaI0P6KiyhCeEBcIZlSyiDUr+XCoGhD4X1EzCy
IT5CBhUC4znaj/KAfgTGA4ojQ/jGgwZ/yns8TJGA4LpJyMuuud1tc6DHof0fBEEGhti7mNqP8+4Q
I6DeJToytO9K2EYXHaQZFPT341gY0MDvTaubcIwQx4OA5nt42o/1zggjoN6hOTKkb9cPObT0iw9S
zcdPTAatvwzoz/n02ZHefXS7/wObZvvPYEPG+3jbj/meMUagvofq6HCPoWoxj9f542GqR6BsAHJT
iJOXmu2hhYag1RBsp4TdWdvONaR638nYW8DvHWcU+Hspj20C9G1KDrHlDsqGCMbQsffFZNtxutEJ
7cv5dwJnt6M5egPxbfoxSG9THBvCkNY4RKsS2H9jEEFht/Rbzhf0JULgfYFLPljbozl6A+Ft+jEI
b1McG8IgKyfexj1E5cgThsyE/lKDwk4Q3IgSDpL9pUZ/gPF7eHoD5p0hxiC9Q3RkYN+V4To/hPsF
SWii912F3rDIn8pIoEAImTsW+ViO9uM8eKIRIA8ojgzh3vQ5Lz314fKbp9JDLGoTelhgCmkrqO57
MbiHKQ/oQaVDD7E9Vtk7WduP+VvPOAL8t0iPcBZcwEEQh8D/KUzOGETL3nDIoMkJ5lD2bey4YvGH
0Uy9jfz2ECMx3yY6PrT7mloQpPDvQyTAoN0B9OJ9qUEZ6nLoGdgLdshiD8KnsNbew9abiO8MMg7z
HbJjQ12uD9LjBupSoIk6WGfkrdNS8AmYbjoHLTAw20Zz9AbW2/RjYN6mODaEvU1+kCUNG66oDhFS
/hwy21d5BBdhEzVsh39R8a9z2rej+XoD5236MThvUxwZznfQJhIOsvr9srvfkQPFodAq8mWbxk7w
FM61gnZksBV+oKvfwdJ+jIcDjAB5SHJkKN8n4SHMMTgYg8HODEBx4GODXoYLDMHOq20xPZaR/cBu
UY9Adev+Y4O0/HYIi6vfNIlgRztU9T59dtpEQpdmOImOg5IeIDuSnzeQfU09BtnX9/+/QPbtk+p+
HvY3WRfr6dMxga8Oq/v11aeXA2cbDkhfdqfuOR/h597k5eOfH2GfKzF1ExbjzxMI+4G29rb2S+IH
cNs0GzDp/vwI5w0CwhBL6csGoR2V0QdN6s3LJQz9TWC7tN4fncHgfz9+iKEjloRTDPmJgF0cnJkQ
V0PQ4xukvUrKl0sE9l9STriAgmOoKP95hONVErZuEv98Jy8/f4jL6Crx4kL9+REO1Pr4IX2+r+cX
ng/OYKLQBg0ScwxzaCAP1x/WN/0OB3gF/6fIaz8Osd9cpoWjWSkvJszJ7wocSdvHbTHpUJzceRUK
L3ERRbeqdPKFpqNyUXYOslHZWK5InMLKDLIiUFg3LcKosVvmb0hHK7uA7h1nMqu+ibJO75I2UdMg
C5sr4bqpHUUxs0XpJHeGqi5yvWRWEYtJ5cnkMnKzzKrr2L1BLovnJRSFTN3KQROF0KeoQ+EiDEk5
9wWZp2a5JC2/c7MynzWGjye0Sr3L0Gsi26Diq6bTeiFq/jnusPcpM+rkQuI2nhWdKG0tiBsbwSu4
9BB3Zo1eiEWWJOalW2NqFZGIFnXKxCR0iVikcVdYrsv+TlRaW0bqhxa8/PMya+eB0O5raG1hFUlp
i8T0bVOmp3ppTAPm6lPsVqdBrp1VCf8Mb/MiSZzU0ouksBJaRlYcyK9mZawbKhorqZMvbhZ8yc04
nKbSrS3H9W4LQ4UWCTVqkRgxm7ruIuiqbKHRaENcGVpNTE9pjj2r6OLSEqbvzwrNdGfSqXUrNrt7
ANq3BU1vE81ZGWH7jXfegjhhCk9CHp1WXWkqrs4DznMrLzp9mtV8RToRWp3TrcwEIC3SZpK19VUQ
kW+Y5F+6OnjQnDS3EilPg7C5pLUjLZaiwkKuriytxsu+5NYOy0ZNaldcmpwXNo6MBVX0PGkiPk0Y
cSwTyfvU7a6hUuDMz5i0tKbTrCoOhAXzo7EpzwJ+SVrdJ990TM12yQoVTJl0zzTH6CI7R7k7Cc1c
WZKZG00FM6/khoW0dkY7J7Mc4ZsXehWeVr6XW8yMfQtH6Jww07fCqvItR0dy4prcm7dmMOUZ4pbS
OnyTm2ZlVzyPbcMNHjKcGlYrvXbqRW05TXwx0/XAt2jQwUv2lLPUWpXZrhkgu4YFbuswU4mb3oRx
3MDMNpYNF8pKg0i/i6WjLMcwFiiJGys3/dpigkYT7NR2Z+ixRVpn07Z44WncXAameZcXzlccx4XN
AmJDYGdlKDNc1oZJragudYuFdKnx3LhkRZtYDc8LO0UenTW5cVsFSWI7hXmue3Vqi7gVtq6Zp3lY
eqeoTc4yI0TLLPEApULYIflbIedSq91Z3bFmZtTevMhyL7BFlM9VG6SW28oJz8JvMjRnPElhqcMy
SVPWwIuNvqZSnTasTpeBxvgk9BC6lHVKJk6pyRvfy9zT2OCBVXJnVWVaYvmCTnErOiuMK5jnVRRb
Ttpct0jVVpulwWnWdtwqMXYWelYYU64SY966jpjoWqaWaRafuVJn09Ytyamibnea+UibG0mmT5Ms
vaaayGdd0J5quvt3qkXkCvteY4P0C5aaZwhbBumpRmrbbVxnSv30PmO++13F0URIWMbXzPc3nd8V
2IoFKXLr9SGtW5L5IUnb3HPly/m6P3/8z10SwT9Pp7b+88v+eN5/fppvkv5oHTW8qdefP+/65+TX
Xl/9PAZ2oAWfz/h9Q0X+8uLb+vO1KjQhqPgr1fn6gJ9nl/RJIT1R/VCeCMoG+gaeOnRqNKHzDwz4
U3lCc7B+MwacMsbhgKI+QvmiPA1o/4b6jVZ6fyoRNIGEMNcP5YmhnT4MCDqPQ1AEeq+/R3ki+I5t
3Sng+AU4SphC5SmBM0rBVNjSnR1J0qwsm1VcEzGtQPSlVkJ8FtgBqyuYcmZ76jcgxKYgI4r7IjGq
T4GhmsxSIs6+vHp7e1R5vwdwyA0UUMAGQtCycHRm7yu85saI2zQQsqxWOIvRyg262LFKllBpN1WR
CKuqjfKeVanmWXnEi8zO/DxwLadTzLBhX1r8KIpCv4QxZDnBYYg+dabG0bylprNBrYaa2a85xpD/
3eEYCnfBjIFDXqGlhD7g2GMSsG2LFWlM153Qpgs/VdDZj8wK1iamVbUN8icec7jVMdp6VhvoZB5V
eYsmeZUUj7JRCtmelpoTBYdbV6CvpV5ZLDcDd+omvrwKSnEaKSHVBCx08VnJ7CwIa7OZekqjF14u
q2j+66fahQE6COtgSEF7UciMPj30K4OKtZpba2moVnHhiM+JyxG2jADD1Ejjsrmqm1zcpg4K//71
1/Zz7bUdB7sWoFM1I9CUHg6TwKRn69XXmnrjGqly41XMO7RCgSxXscptjzvy86+/CZbPzjcJ6LrG
YDsbODZ8MM/S2Gi7LJfJiqe6sc7qJA/nTsFbbAWpnOpZGXY20Vue2D4x6+i/TZp+Umw/KEwUaGJg
wBHP0Ilk+PVQBe5JN468FcsCcx35pbkOwp4Hs4vUlOZJYrU6QD+vw6zGVhYkbFOEQi1r0RrnDSW5
bpPaTwLbZ3H0ieQpJhPJ23aTalUK2qSLmG2KxMgXJqFd+Szonw/jvnpm9LXF3fcqG/LPerEBFjec
Xwv+/jZQOi3N2DQd7QKVTrT28kK5YKUERWyAvm9j97SWXvDN5SI9b7pMzmhiNJ6NUcW+F6zrEruV
LrONxK82Xk7YY2Wmkp3+GmLD3AGZGAQmUR9sgvyPycBteT2daM49PZcFufCNLHUEnxRCdvOmaIiY
FVVZ2nmT6ddV1JqlJaVkYH/Fc4XzdB4aKbaDMItu0tCMGrBJavdL7UfJslVFYaVmln6iKuATJ4sd
u0x837O8goDx4/gqXtWppi4zrQNr30XCt7TOiSMbVzJamLQIb7DvXrltTBorLFm2Kpysd1Y0AjY/
hhfptRhkg1F2naXX3D8PpcnvHdDfp5JydN65TSXsWpdGZAOWXm8ttZFVt7yboNrUJp3fPKQqK25L
XQMrtI4KNnNUVi4NB+O7TKI6mDtMQ57VycD5BrmWvLK8ONO+lhGLwPxReBkkcbpEmQgfvSqlsO5J
FNx6wmmYVWWGe5o7eWm38B7myMDiMqujZmrUeTZDqEHVNISW9K5d1S7P7ApLZxopkk/KVFxKR3P1
CUJJsQBVg2s71n1q8YKFfzeRLs9wLtJbkxTmvBS+hmeKRt2a0ySfKr3xu1kVcHemNY2+xiqsvys3
TU27w4VeWrGLK3fWFH4Ci6OuwYyqSj7LE0dOwoJEixhutWBPTZ7Ai44qZvnK9zWbOTWzWGI2nWUU
oWOTQoujeU6DqWuUrX5dE2RMPJXroeXDTCpmpKiFmjeENedgMnehc13WGTiWVuuFbZw/Skdi3N2r
WmtYJC2RgyhPHnAb+QXJrbIoy1RfFUERBc2p8LJuXomycJZR7nmp5eMwudWZRpZ+S0hpl4CBA9aj
Dk5VJyPOJ7HjgD4swqDOpjSoXd3OwwLsXJnplCWLoGW1nLRNKIpzqgoCM6p2EjBB7RJ04Yxq0ncu
K1g61LUznnKYcCRQ0SwOvVxYYQbKy5k2lUdtzYGmpqbVOnpswAkHThTZElxgZ1aHLIymygGrYGbG
btTZvDNBYsY4MEo7krkWWpVqXXWlPC2Kponr8e9aWTFPn+gJLuaewUu+MjXHdU5jwgpwYOy4UVnX
LhRsYMzlNHUli6aOqrpsJnIVe7M2pFG70JWKUtvEbejZrDHbcJ57maeBS2jgL1oKTvUE4gRBNIG/
unYZ+rqm4JXH8Rc/Aj94SXJRhNNAFvSmKwtCZr6WYHQma6lYbDGJZTF38iqNb0EZk1Pf7XAwK1Pg
YJoUodtNOWo6YXO/TeuLiLcwtTVYKvnEQag8zYlphhPXIW45YXEFcHpMgX0Sdz7pNmEANWgTDgxE
E9JGMlsi3TMWrscCauMgyMjESzxn0pVOYILbmafiyndq37CJl/mdFaV+p53pTmjMUOq4JrArWDpF
reySpfRQ7U4DYcja6u+zkPBEDNPHJZnd1J7WWUXjaV9z6NrTapYH6wivUBd7nWfxytDIXRvWuFzR
VLTJJBZZcWGWMagkV7EACERE4G05nkTxPUQuYgnOTBQ2M1WbnXeGCre4g6iFuTYbJ3IsjmDyzsq4
YWSqaOcB8yXyo0lIskDZvHamHvKy+7CuwbLwXb+6VSatv6W5JIuK1eC98MDUwU3hDoxjhonfzOK8
QquuSYlxrQoT3aFCgztqqiluF6hlzbTCke8t8gbjehkzV0E8RGPic6xn/eT0/UzNWaikumpao+C2
ntWAjaxjYCxRIHTPQIOJz4TrMLsjkJL5BLZaNsmyUMLBV35eBsEN5rEAB9jw6/KiaIre+JRtc2UG
Gm2mSR3BVydJ11VWg6Oim+sB6x++Zx3iQD1faYRWhhnDU5SZCa9KBknQ2SKoYOmkoRt413HOYMnn
JVgFLlwDmYqLWF5myGhzcKhTqQPcdd6UF5EmU2V5epk1EPVhOpm2VYZ7oQGLyYYnAgHSCNTbyUUc
fXag//gprzyPW1yaAcyL1qXrOibARpP77Q0pGl2duWDm+mdJGgf+LQdtMVexjlaZcLN76GRLM0sa
0sOnCXdFeebIxK0mbc6yGgzcFiJZGF6rrbOsfQjCwLxqSqUni0xvq+BLTSNXLSJHi763EJMBGeJl
oZyAH8DJ1MOtVLOURuKLpjvRLKpTN7OYAWKuzWt54yWFOhNR4JsTE+fYBbEHQUerklh8zn2tcqch
jmGZdJpDxNKIE5RtIhDI7Sn0dIS1UfcSe+qbGrzRpuqqKSiZOjtDeYmp7YiwqEDTkgoiEHnmf81F
Je60Fsz0004UOXosVNwqK0KIVUuvxjBUEyHZ2UbtUneZAiw1BOIEnXVJVRUXTcvCW79SmcWZWhhR
U5mLrqYATqAj1c3TEGIZFzFtjHOt0I1kKrM4qs7ctk6lzU0VyTuwRNSjLmIQIyA6VWUFUtXKEnXF
M9ACbXYbuhny/kZJR3hldWCBtZ/SgmgCBlNOPpVMC9xTiG3V36Sra5UdMkWDpSd0dN0ozenmeZkp
b+p1JUxSDxc+uWqCsDNXEU3D0MrSSqcXBpIGREPBulHTWqaAWs1jz7XyjkUgO5QKp6ghTT6pQszz
ecczmP2B0bhs0jqtrmwnVTT7UpstuvNlDnMNNJ34DHM9UlexiBEIWJwKf8YjSWurKe8xL2uOrCCo
2CcTx1k9qU23MC4MJ+TVTeYokYNyhxk9TT0CaILj0DbnHimC5JzlqYS4SKNDGMlpEgjGeE2juRcQ
uEzrSaQckBlgjZXFRRg6wH8uAnemJA/kpG50fdlmBqz7llLmWYYj2cWTVfoS+3+xnZ+j169jGa9D
G2NiJBfeQ56o5HsxDJJsDfT/eSQFwvD/BEWeMxE6uM9vZyLAXIWTzvZT/Qin9HlEYepwrBFECcBK
AaP/ZzgFCnyhRAAyDnCArCFe5yIENDeBEAwUBgkTCgX789p/hFP6NAWhcModzHrYmAmdEX7Ek7bQ
hBTMHs8Isz7X8Nq1M2FbH4JMCYMNYdC/vz9a67XT0dSOC6rAMS6DLmXtsqMJhJkrSQrnEsQMiaIL
DczaBXdYaGulvG0N17ACaqSTGEP0EznUs8DrC6alKIyJMiN9odeBP+ENye2yStao7Vy7NL11l6lm
EhEIC+SKnoWQbLAzx7/yM1hbrlNM00gZVsVhffO20xeeoGoSlMgBEziorFqLqqnMi3AiaXFWxqmw
EPO+VIheeySe0zDK7aSZxFU397Kitio90q3AT647t/6c0GSpIG5reWECpkuhubYAiWN5ebcWfn5N
aaZDw0tIPogQX2G9CC9Ko0tmoNRjCA2HCdjT2XfiuOvSLws70ti0aDd1g80J+BTTSiMQB4/iiwYb
X9LYTS3F63RhQCDTzglEfoMUSYskGsRUuMhtVDVnpPP8Kc67DURjZ2VSnSFRzxFEfaEsda6ImuZg
9mMfQTonTAM7r8imEODk1U5nCd3CHTmP227RmeAMlK6TQwi+sKvIu+NlGE/CMF1EEI9pEv8uFNqk
KOLrNNfPpFbaIEVAF5nRdQWQlpEB8YPGy+N5oSE+4zQ9RWb0LVYytCEKdK5X4hwsQ4jEhw4kOzjB
+TVq9NT56uehi6eKJG58rXVFm84jFLeWqwf6323ni8SiVfCATTJrZF6DuC4fhJIzOFjEtWsOl72y
3mQGUravGmFFVbMoWrkyYodPtbppZ1khv9cazS2ft/dUF3dF11yjCn2F+MGpnnT3XuULm5qKTJlr
PHq4Oa11t/0ayiwA9zYFj53ENq/AWzT1bOGb+TWozQXLuXYOfuxd68FjpWGZQXqJXzqN8mwuu++G
aU5KWQSWGVAxLWirLzr2HfmJAUZg8bkqwAKIUgNPQrBIAxeSYabmgYMJrnqKzEkOsTJbS+SDG2Qd
5GDabsZrP7X91p1jTd17dbJIYNnYMYcMBFjkVspUNy3cOLUQaLumNhyb59pV62h/54V+SlOCJj72
P5mOdMGex8xSTmvBap6A/lqELIDMVJGcxiaE7SV4G2XGTUvS4LuSxWUaGetKOec07HwraP0VRHrO
UiIriybiLAbXyMKEVLYPpkkuPWn5RVXPswbUXiEJsrCAE0cCft+xZBqF5lJX7j0JSHrbaRQyRpJD
UACbn5gmbxusWbqo/86k4S1TKZZdk505Lk/PnET9TRtnDsG0W43SpST8UhPqWup0kxrdKoryRZDA
3Oxo201SFJcTiCzcVFUyD8AYc0tvnvtSTINGxBasHvpVVWopsV/eOLySEAwIZ1FTn9E+P3UQBfi/
p9r6aOXbqq2v9D5N1lnpxbv6rSf9qd9g+z+C/tSUQj0caBG49FO/9YUWFKLMoKugJLLvsfZPrh32
JEJtFex6gLgigZzAT/3WF0ijl8Eo6Mb3qDdIdg/VG+9bRFEKCX9I4EOUflu9QVIiahrwQy5braIo
tXCJMmnFMfeXtJTxpWdARFoyuaJmPnc6al5nLeQ/O1e/IY5xE+TlJtHTzGoaufSr6kwyNKtIeR5g
bGtVdxrG6JzHaNLhXvwazbc2Jed62EI6rYxW2OAzx2XnSmoz8GKvqS8/sTb+YjaFzZ1sww1u5ZD0
BKt/GZTJRGqaa1FJliaXn/MWDHRDv26DcFW23qQS+qphVQH6EAI5vJubOeQ7PfeTmXmWBk80DfP6
m/CKC0cEsyInX4kbzquiOI0dOiuIOKuMbOVIuRJJMxOdYbsyXZXYB82UXYAX+gWOTV5IhFaibS0t
SC595K8SDU2rUkwy1U0gzn8vPHUFyYoLt25tSKzPjbqckpCucpyCN/9d5QJPI3A2bVmW4InwdR+t
8qjxxferpaag0sBUN9Lt5prvgxjtLJrmt60CV8VpvEvXZAvI40yQTz+BT7HoWnUDeZNvMW5WGo9X
0snOKwphya48jfJ2Ae6Axdz0O/PTFZxpMu0csSSuccMkSy2upYuCxbFlhPVFUDKIMbTZWeYEa5IY
NyKltvRAkEJM87LUinMXR5POrZZ5F9uKaTe+aCDg4Xw2ovYTSPkpjT1kZdKbOkFjWNLRM5tF2YXH
w3pG66y5DtvSmSQeXbNK5PM0a+YcyiQguZl+wTiVkC5uvnHHJ/eJA1EsSLCxYKpaUXcQN+K5v/BF
LJdFkuf+pdF1jWf5Bo3JvMohmiRQDTOgUUtTS/R5AgF/S+PpTZAU6WlM88pWWeBZKETkojG7alK1
CHLsjZdYAtz4iUM6/wY2jM4DDBUCZuEu/BipPlzAp/BYfSis+7/sfdlu3LjW7hNpg5JISro8mmp2
le04sX0jJE4iaiQ1UZSe/v8q+++0404naJxzc4BuII0ESZkliSLX+iaukGRADVIqr0tGn5TR5M10
C9AMRA9f7gu6dFdE2oQZAKsUaJSKQMUB0ciHB7DeJKn4tIRl7dwW/qKA6n6dsWOFgeW8s5zsRfpu
7C/0vDospX110w3VHFezvhYWX4qVnvxy/GDN+Nypn0aNIhAAQ6emKgTyB+Zf3jqyeT9PYxErPYxh
xrgdrYJWcanopxztVUgAFoVAkqd4oMFN0es89Ez5ObCgmAFc0URaiy6uHP9LroLndnEeGONf8P0F
FCRo/JbFrWNXLQBZGlfF0Ctgc66yItTK3qq6j12/OAMV3/vN/J6a5evkkX0Z+HsqRZEaa0pAQb8v
VicJmrq7WbK5SxtdC6w6IL5knd23kJZAvFMNiSO0G0/ULcPZbh/ncsVd7prPlvRlSMzcx5BZtGlZ
mV1m1ZuSBEUUrPpplaIL69GcC+J9Etp8MlRDOWIazF2Pb12uGT5Zb3NUEKHTOamvgCV1rrPJpPM4
doUXYqmKuoHtinwC1MiLxyV38cMt+lJkHYBIEADAdz9ZUx8PDl8ik5EYtMEHN+90tEBIsaLwj2iV
R+5kOREd+ylce/VOzG4Tk3JZEsPx3E2WPbo1YO5MZR7ml5t2ldWFQTDjNS2qJZISr2Y/+wO+nvu1
IY7Z6CyH9oT1YVEVM4iAblcUK8d303vlD2fTQEaygB7yG3c3C3IjRg20jOzH2YeIwQqCsLCWMpyI
OVaC3ENVcWCteAewjYS65HHblzr06QzmwlhHiFXssF2qh15QtAaN8uLaQz14L0TVpv085AKFXIam
pBtJZJVa7OhYpKLWNGyJb23IuuhwaVURtkMjUzM5+6FabtHIAJq1TX0LerSI/q1Hvon+HNQAf1+P
fD9Y4q/VyPWD36sR5z9ILnFhrqAUNcS1rvhejeBs0quzKoAylIDjQaHyh3gBKYPgVqGCcK9HGn7r
0f/sttGdo1YB5er8o1KE8R/pvasXgKHigf4INdH1RNw39J5Xj7nfOLl1ti30XWNhR4SuX7IZK0LF
ah5OLkmZXab9kjf1hhSqvwv6xrp1vGt/Ccan9e7yPGj8MABaHU+D3X/I/MJbXiAZGFE2ZE3oOAvd
lN0ow8FBhZAPM34H+fMGhVAPzHT2wScWQJ6VFaS97Ty2qiIveVc3UecYlUrh1THW2DHUuYYUT+Lf
ul5Hw6ly+melSjQEee3Hq9BsP7fevix7N5zdfsdE44TDZG0mZ/rUGAcvHAjrsA5aBw0ClnNrOUFJ
iT7PY4kIqL7xW3JFmss8CRBjsekXtEJ4mdywrwwketgi3SWAKix31tDJepWs7hw7oxku4CxdvLhj
/aR9ttzb9oeCDgWkY9UNRE4CS1hwC9UQsGfHPkG+JkN/Ls5zoV6GAnu1jwUezNkIHoHNieebdTN6
c7FvPYuFzC3MrloGkgysc6sQxOEc+oZI3DPfCfFYrDPtiiVkWKrKUbrRWNB9dwUXKi3N7eqX3qYd
aHVrNDlLJcQ2qIA3ZBbBh0C/FallAQ0F59fWFRg6tIN9BikhluU2SFCs+vHgexa6XiFWD9u3yu4Z
ht3oslQQNUI0sgO1oDfNIIt9xi3/VNB5MOEYZKeK48Ptye6m7NaexBOoWLSCLf+Y9w0L56F2ElDP
TxX4jyQb1VcSgCQDHHKsM9GEYInONalkJJbmq8CO1Ln5eF4aukQNtPIR7X1o0VpwCCimd73uvL3D
lB3pcrkX5YLH1DQbKvC/oPcj27DJD+kyO1iWJzXjC4zOhN2017NDT+DQrf3iepEt3dq9MDZUuNtk
uUoYDXMjB0RUDLXneOy7gMQTJtpZy5mnfce6A6dSxpaUG9lDcFD667RxRf1cay8eibGjxTLDfjaN
C6FhbqeMZv5NBZDeaoLP6MKPvGxu5TQ9ZJZ7GpTnTKFjqZvFKpadw/syzOW6tdhch83I6nekzMDw
+F9GyxyK2jsU1DsuQgaJB81DZ5aEyzXFNZ/9pT0yKPFWbR2YXRwb4edRMbHs1PpqiAFTg2US+T0o
mHzXiXqHDWlbdXhIPgQFai5AvpdeFjqV/zGfZryBvDgbDZWNaYM+tEbdQDbURTavd8HIEh8OqKb3
w1lC+yj9r0CBsbQ0KbDuVIEwIXqQae6QOzXMsVDlztP0EMzQ4NnjEoqRgW439YNfk7NDpweuiY9J
Gkh+znBmxT7z16+qs+9Qbu+8yY8BByYceoSICHNgFuQcWn8U3N2gAk0GyIvDkvmXoWrvfOl8DkB9
h019Ba6WO2oZHjedOi3dmloVjRSeMZQkRURt6Hsb6D1XokJg3C/rsryDrqsJ7arc9ZO4rNKcGwgX
IQ68YuRbr5ERFtIqqhm5bVpzs3RL5KzLrs2mGOqCUKzWZp2qLTTgEVhI6F5NagF1x0pUvHB/imq0
BtYURJWAelHJc6sICmEiN/aIfqic8osDpLHQ+dYQP26kddR6AaVboGN2IIkyEdjErw51oqy3YwRt
QeVZf+nrLzKb7syIKton24XwsJjbR9Z58bC6MU5pg9i+jyBrOCO6GowtTynqNZabO2qCd3W5OnFQ
1wPUyGTT0D4KgFeFoJ9CNNmpH4CF6oobrHDp0tURSICY+0DOUL/uXHvZmrV/JPa4X5l/z7l69MVw
l+vldmo+Q6f2pSNERLWxQ6h50oKrFChSXOU0EWSJclfcgsc+Se3eOVnz1bbG0OkJBB1eqAjZWoHe
+oOVEgGWiMkjCM2HHt/Uy1AQcqaSzNKHgUwpXsWbIfBT2x32brZgwC7JFW6YaYdYdhm6Meq8zJN8
xI+iqcnceBmoivAmdahc52hp549DOwAesw71KHcrwFa5QBei+yoVFjYJobIuCsQCJSv3Ns6oPzRT
+zx2kB0obwetHgTcwNDk2G9biHiJaWS4smBjl/px7skH2Zd3aGs3GTVpkUHHbgdJ3o5bb2SYnd5G
M33byvqg0Ahqa7qvC2/rm+yMJmrX0mYPRfxJSJCS7VSkYOwuKiM7vGChmv3bsg+Orm2eFK/BMpIp
cgL/Iev57dAP53Zgd5PJCfjm4X4CzqiVRA2MirZl9bFm+b72OwI8PT/114VqlY9LNUJjwjYKNNs0
ztB3zdEwX4ue9pCp9qFXy9525MFyqDhbGck+5ZB13A8DODDITPY9IeE6z5EeK2w85WeR84dybLyd
M49FGHjjE2XY1K9tlAQfX9ifeWOF7dg9Vr3YIRHwjPW2SEhfbex5OIA8x3sJzDFaif0k2KDSwK3e
NQDmw85Um8q1L2UFLKIKVNjK2U1hgNhmEAzMjtWAuZORhkTOy+c8shcnruoyYaK9mJxvyszsTbt8
VpZKrKH8OPYsVNj/8AZAhl9qL5mmPOmF1UYWKoRqhHajxiYBUHCrLf+z1iwdCrLJtZcWxCStVFh/
hhJ2CbOmpmkPy5gf+pG9k6zAXoMGtgXfOUJgbYnZ2rcOxVyv8Z6uQGXkrrbG02rNT0OvXia/T/Jy
CKKsNif0kn3UEGx/r0ran7AxP8rU/lshurYDmMoFrwPW6Eewapz7vgcgZ51Jsy3KKpTVnSWq34jh
UOe+Inz+GITbNnEhQXOvLuTXhA8ELoQzaltn43/q5808PRn5NXfjBjjqry/nZwUvDhf9PtL1m7yS
R8pMLjYMK9bZ8W8ERWfu2cm67iR/X07PBYiYXw/307uHtwmHsdBreOGbC3N8CSqllvlFW8/jdOjy
l7Z++fUQP7siVMsoljHMVQv54xVl3DMkWJS4aBqV82ZCr1uLImzyTQF03Rlvfj3cT64Icmo0LeD5
6FXY+uNwuuWDs5CxuMA5FBZuB6Jno6rfXNOPCOm3+fDDINe/f/WUhswaGc8wSNn34dgfy0DE/3eX
cb3MVyPocR2BYWGEXp34lQ2T7zKv+M0gVwnnnzzmXy/jzaNRFewRuhmKi7HcULAoKC60gPjAe2JF
xIezMw2/GfFnTwdOKgIrDQ8YVMc/XlZV+E3RlnZx8brbjuRgknZe9vWf3zqEsl5jlDEPbP/NrcuY
a3EQWOUFfFzScIi0ZDTXD78e5Ge3DmkFAaNwuYF+ezOInIXnFYUp8XyeWn4U6BSBdYRBdl9OB6ph
Cctufz3idU69fVivR3zzsESAYlbZS3khBoaj4QO47t8sBn+R/FKf2Thjj12DTmFLuLb7rycdnCqi
EsZuLuWx3407bJ4nGbGE3Yo7FrVJkfqRlf76qn42IV5f1ZshBShnMypdXjQf0CYX4M6wKMjtr0f5
+b1D/BtOCMTMu3olX18YX23ujQ0pL1kXQKJ8uHq7fj3C9e6/fToUaml4P65nj76d2JDTFvYyWOXF
Q+u7+A6qzeeCArcsy99cy8/u2OuR3ixw6Ihlb3u8vNjsi/BvWXbfrb9Z3n4+BIMvIPDwJnlvplph
V9qna15d2vbMgAObwgEcy3+z1f3sFcJk+z7Km0df9VqMS45RiuqltraZayU9TVkF9dR4sapNzX7z
jP5yWQ4crB7BEZLYipDk+KZUcILMU40n68uoN13/PPOkW+9+PQ3+MtHeDAEs7fVEa3WOGyq6+jKv
IF2tPF5K9pvb9vMhvmWloOABzvbjEKUxjVWj07oM9Yu17vhc/GaAv0xlXANOJQCMf3X2Ot8k96+2
HiydHuD1tbmgzmsmFolyV5QoTIMv3+7V/2uZ1P9/LDHBI/l7VPb/1Kpocav+IpvCp/6AZJFdh4rM
RajZ9Swf55qW8h2SBfCKh4L/UIHANfYDQRxAn4ujf1yYU2H2cv4kiH2c2AZiGMGIboCULLjQ/oEA
yv6L6wKSJ5gk8QWRrnctsjDS62meY4aUpevXZ8vunvIC0qF1qj/ZC9vVNgyRJV+joZ8SjzUhQWOx
uvkxWLqb2W8gpb1SFE3RNajMrKj3JifNGUmJdO/nQjuJ78GYrPPlSMYs5paEvhoKksJ3VFTb9VEw
tPHagoajGj423OThZNPPmVMMEdySORyt5mB8/RkqqC7yK7LExAUPuWgGJrNdEzJZNfQmzEAIAlmS
N8FbTYE6RKNsl7SVy8VZ0GQCsT1MgNRCaBAfXfhJYkhDP0vC91gzVdwZtFi5HirUsW7IxLUb9YLL
GtgfdLbmgDLQLAlhzWHtjfgjL4tozZUTNk2eAQAA4TqmiyezsIM4M3Rm834V+QnM60Fl6iBwTaFc
wNw0jnM3F1Ws87xJqtY5ZbbzLlvqMdWIQgch6sJMNoDgVhWUUpS628Zdiijz1Qef9VbEAQ5OecR0
V+T3wGnUMxTR75eVzocR7JByx2FT28DsSqyIBkxu0VabRgFFoxOTIZ3hz53czAF3659E7rx3u8EN
p2I+WyjAkqqa1thha56sAZr7vA+sjSWnO9cSn1mdyQ3U15ENTfVB8o+j+QjheUoV/zgsrtxMPdlA
LIj2FECnfB/Yor2vCZRbX4p8/Twbcbe6ZEy8SUkvRGft+x97sOsZ5veOjC3ZmtGRZ6fPgjNFu7tf
giyiwZS0M1i9sQepRQQpIkGD5cYtV4g9C9nM2Fe8D3M7x17RiJNr5BdoWZ0tkXnQhT2Hmum/6+m/
69xVl/n369yb3MO/LnjXj79a8ChWNSRPOAh98yk2ve8Lnv2faxQ7+KQAb+q3tfAPRQy7ykThm8Vf
wCjLAnzqDw6K/gdOUHzs216PPuMfpU/8uOUywkCKQeYZUOcaMsmu5Nnr5a7HcVwD2s38nNc5SCJA
2b9r++k31+urAhIHHSMpAz8IdTdMwd/MwK/HaGxJAlUvBoZYb9eKKUiN45R96jXmZFzDMV+hTd+A
PS0TbinA7fbos3tnVIWM/THgJ6/34B5s86w7Tb0FU1Yzubw7cW4B16HDtOQxUba3JsMMq7maidpW
4B2SHoKZjTHwKPUS4sQZ6MQG7G6XDHIuNy5XCAzQ/AIX4rWTbkAryLzfFFYOYiTvZWlt2mZe5X3b
r+Ir/E86de0iW8vIH4iVBPVCHcQ51PhTYiva2ImgDXHvR9BoZQTFR3c7GnwLmKTS1bJhijHi0VXw
60ACGZIa/HcVVDtXdxvt8eM8caCxo3UzCf2eVe67Lhju+2o95q1+zxl2H593MqwKeux6CntXdxSo
YGwUmjvYAIo4N/ww23UIlZMPxk6CNTTAbMGxrHLZ94w8qbIEBlt7PCSyO/cFL7dQmRwnQz5BIbgc
hAIDQ5HmEPq1/UXUEqhlECSL5CUIJdTKOXWbdDSGbVo3Ww/dog46szamqbajVeQbaAL7GKr2KF8V
wiuKUzMzN8lcClWlUJt17XdZX9xdt7pN2UJOC9weEhvsFvlg79rB9ED0mntktByEa+bQwv71Au8F
1Bh9Pkfwb6QG0vvQ2EVCKfYfyICAVWU7o7rTTFuIXoAcAwz0I1QSyJTIS3bPKJZ619BpO7QtC9ss
cOImo2NElvHUcW1FedDvdGWWjazJF8qnz3bD/E0Pz9bBDVCUwubCilvV+k1sG1qwyK6Ae3q2tQ+q
0t4MPnmpLAG5tHUz2t7DKKxNLTIYA5ce+iA/mlwYHxv/VrdtGiAdpeyzZLCtqOFztZ1rZ+PPowN+
DTeetd52IPqDvYK2VSyPvSB4Ro7LSZLRhUTZ7FlNLit+qLZbeLhEuFJ7MykLjkL7i2WZnaTr0c2s
beC9N9mz9Ne916x+ykCt9h576FY7vEpFNLQ00+iPB9pUR1jSLnlW2pHrVDzMquCpzp2na+h43M/2
MaAtVLr03Ikt+D8RoSpAbQDvgiesd74ZHmilE5NXJmYiv1CNcgDd3AIVb3EYZbUDYQFKU9vvlSXe
+X7zYCmA8O2cXtVaMKPsu8DawxW5hkPJERsRbGpeQ9jhDbErbVg/Jzre0bnc4/oOrCTP0JqUIfQ5
wKxlL1LHVeVNQ021NVbjPMnZ9x4HXxY9PEJL9tCMWXVnMg9UoqnthILFDa1iFHFnVUC6QcVHaNim
sHMsEs94LY5aseIGom8LgrBeZ0M0KX59w2zmybALroKkLvM/rdzPY8H4e2tweKIHDkGdyhIEuqB2
oQFk2wKksV6m+rD4oH1zh92NBIiK281dnINDDm27RCTNct+oag5B/8ItAxN5CivcI+f3JZ583E3W
GntmaKG3rvkpUwI3e4XOpOLyE0UfHvJuEXjl4Kul7B0BwYL7uFSbfMmPZWOvoKiy22qUnyYTRGUG
OX7pII/FIvcZx1N21fMwVckqy60ux6/o8881W8s0zwA3u3P9BGVtKrj3fLXeTf4AN72NIhfePoUK
rfXD0luOQwb1O+qzsvaSsnM+N2AGoXpjcdnqJ+1mG0ZHFa7F9DyMNFU9HnM1p07mfbDb4T3Meh+Y
LZswMOW9qZdjG8zbsbPxgs/lh1wsMC3hFTVA27NmkzcgjmCRuRvH9cwG/mQEu5FwGvpUf5hXSOpn
uS+8Vaewg2KxIH2Ep5G0vHpeuysMWPINLUGzmhpiydEvdvlgRCJc4Gkl4/f2iqc21HYV5q33rtPF
fnT5GIFNeMJOAM2grDB/2gvkSONWlvkHBqIohBF5yxo3wXITQ2N2cltcfSO8oz95W+Q87O2RPQVK
xxloD+VXZzQ726qh4QBzKsrh6qPlWzGbiy38+3MI0v4jGas97nVcrKYNkeGwh6X3dlAEX5MOe7hD
tz3jzxlROw2NKR31fUa92PfZmkJEL8OmEBdCzdeMzHDCru0zoaULt0BxCli96eDcbtpxjatWbqHw
6LYgFZejbbsQmDvHqS+eeSYPpIcszXHkmLYNsUNJ6XwBEyRCv8/dpPL7x5YIuJqJf4beW4Zz23WH
wfbyaBSmSRnnL0VtNTFQUetxVhzzBRbMZIFrIHRpUX+GBsWLHRf+qXhenBPMrP8QOEUJEgAiw/mx
LtTF0BO/QZbsitlIusqsm7J84NX7KvhE2eZVCXj5bz3zOlXgDQTzlyGuldYrbGHBLObVhCFIt4Qc
GlJ1Bob66zHe4Bf/OwaHNumaMokclR/HcJxpaeagyM8EbY3vndfxaMw7CEh+Pcwb+OrbMPAegq/G
aX0Ugu0fh0FqB4QYlc7PU7MmHVSPA1zYVvcw0cus7ZAPkN2x/5Jd/7YS1+Ma/r6VOPcf2/wnkMn1
U987CGjgcYILZHHeW0297X9LN0QWB9JlGZLUvqvYXBdhpB6Hlwzyt29HQ/zZQbiIHOYcv/Bj2bfU
u38CmbhvewjvCs0AHEYb44AzeBsH0nF7KWaPZKcefW7irnUVoDEOsoOFgIpD6w0aqyVZpmdaij0k
1k9+Domx8soXVzM7tmaYlrZc1HB0dS4pdxDYq8SURZlHDhfyfd5r6E4h40NMRysWBU1MwSE0Vm7/
EWrh4ss4kaxPnZaJmA1awosPC3hmylRMRQn1cj04iNPqqU67HiFX+8WzgjCoFhhnJohEq0JxSK+Y
uUri+q+WnxuYfYDnsCLTIfy5nzMYwkO+QLpruYgbg4YIzdKSQzLTg6Of7LNa5WFg5LSu863trkeh
gyvqe6SyRn0udgZdQ8R4jyLIthjSCDTyfQYqjoryDVHWpdRdeacy/zAqUUY891vUpIN9bAfZR441
V8nCsc/3yipjr5vOZhzOVmUg9ckpCRcKKlXKOUEuCUcKAh8tFRXu0n+t3PG+qMk94ahoI12P7cXq
qvXk0iqF/CbNFRePstCRh4o5wz4ENhvltSvFV2/Iy8hRXp44ErFfwRQHi9vAsMPmVPndGHodBCp9
32zaDperoFk00OMhzcjjsWPD8q3zOdsWqpxCdJnoGix5x7EPBRyaBbKgCAqmNlQO4oMKZLGsbgpP
BhKGJkUfhsCG/AMa9n6p/ZTUoE9q1URmWvsQzkT1xLIJ+XG2FRTo4Zx8iIalL//pko4X7kqq+NeQ
KWRcvcWjiZhJFQzljUOESl0EDHwUC+7TvFTt/7bJ/65/V4T379c/RJB91DhNfPgriHL94B9LIE4V
hXEHGjPkZMJbdI0a+w6iwHEUIN8VriFOrpzLn0sgTru7nnOHE6evIuAfUGPvPwCf4f8BBn2NLiP8
n6DGyC/DjvgnxHGFUUDABWBmv2mJcX71jztmm/ta19qXZ4KpuoV/dSNygJa9Ox8mTy/RPDnDEYJw
uXHJ6m4CM13akiKkqW0+9dSR8WAN23oRLAncHvKrmbuwe4gumgRawtKanViMvoVXjq9YME1z6fLg
g2AodXXvuhE6pwOyJo49o1tfBhCRWVAiLgqK4FxGa+ef1n4B3igrjeJy3OdNiSaZsv3qQ8CTU++E
QuAhZ2qC/sW/DWavgjq+uB1J/9FhFLZJlr/XDVPhjOgnLLCejiq9nnjrfTAZunPbdR+DWn7gRh+C
yj7OXv3OYs1phPM1QvzBQ9tnJLRsxNhk88Fb6V3blqmdW08OIgDzLk9H0nmA1tVRefIRIao3rmhK
UPewARjWhpgUH0cgLWFrrsuwNyYFX0UIWT08Gr3hyHnpFogy2ynRWi9IMmrOPSy5iNVxt1Igk9PM
081c6ynM19nesGpMS97dmUojJ7SyISJy1oub8RfgTu+qaUnh4W9CN4cYifJ0Ec2uQCRGiCbywifv
QXRZnii6PPICKHcxMxV7NoUGsS1k6hbLAEO0txn79bY3rZfaot4bu/4i1gaRCqPzwEVvIwLCySIY
L89QMzk3deZtjZ/fdzdUwI4GjHf2D3wpsQr7JC08DdC6Q9zBuJbJ6ILp6yf/UXAOnqC7yqplsQFF
0YZVI18qj8u4HAEUO52d1j7CDEieLOOyLQCzAasvP/W9+wUH/X6ZJcm3eUdvrkEQRnc5wrt0k5RL
Td+7rELmDUhfAPtFJNtu3zC+q5l9YpNIez+vUhvBO8lijAMNJl82/jdIu2XTmMzaui3U/DlYq7mP
IFouI9J3m7WjEAqO3Z5anRN1VG0DLkUonaxEYAqSKnGM2dax8hZiXvMRffC7gshYD01C4LsAWQBR
rB18kK52I9Gh5YFpuEuKIDfIeYXlaEHsQWSvk42NX8HNxuq7QCPazsncEMFluzbgx0wPdthUfYlQ
2RLvhVdPiV8qO3U76YB64CS1areOCLIlDovT3maWeHHzmd6OWXOHeE8SXmPMIPPDtYgRgjprnZIB
2z0Mz+sZ4bXQvsJqGLpCXTKPHUVDSKxISUNe4ga2/Hkc7f0gbwtKVdj3/gWoCFAsLm9MVsOvPs77
wJGfkTirwm4pPza0UYlXDVVsGauK1Yr5MTP4rWgHjOiqcHWXqFyfndz9rCHbKXfAOJNCQgrbZZgG
usk+LtdgF2fpTtlaweriWvdG0W1rCwsJTeK9lVdfqgmvjNNC+6cU5HMB+CyrUWGApDIEZNTv4Pz5
GkB3DRsb5p1be4j3bPOEIicttBSieXXetUfLMexkt807q2i6G6MBGyAiq0y8YM1iswJwmzJI3vOe
SATY6BO0nIh69bCh10FxL3rMZkZze9fXpUhohieOWB6E2y3rLUJ7eYhawQ6HRqOKXKw7t+unmGAk
CH2h+oQYHbFcVZWlehlLiExHuhV4XpoiHxcpViB9utuGuodaDvckI+8yBpzZdjT0zcxB/Xr12qHs
gu9OGbt/rAI4qRM+tLyMhqk8TJMu12jUbuOkxZy1cVcWw5Mf5IIev22F/9YEBJv039cEQB3Hn7RE
1w99rwdsUMWcXzUCLo62vCrvvtcDyB7FSgvr8VXhcaVHXhl7bLh9YPfAVs2R44tu6Q9SJcDZpwxI
KuhniC0J+JZ/0BJ9Myz/WA9ckyA5hIHXIgOKozcyE63MgGQx4Z4HQ0m0Gr2bF9rBx+rCz8K7VLqw
GPTj8sFDckM85PSld/0jhPFVzK7hQaXJKDYPcRixOoctaRG7AdTQX9UUm0HfmB5pGDToJWxz06cl
aJ9EgeW9qe8qWm7ghdk7rnPXwaED9hPAZqCcASJW59g2yObKLe9hgKw/qoNmRKxP9gDo7wNDZlmI
8CckPZvmzHL3bENHEnRy79Udso9Xd7fqDCkecExGWpgN8k0Tx1dfqRJ305yzPQiaDYJ3P/mwtgTD
+t7ABhdWDt5coMpVyGnTwk+ZRcSAB/eUeD/b03OFFxPJv2LrTBA/q8EDMyxcaA/12EaFcm+qptvX
FYWvCM1Zp4UdopEYo7X2z0XTq2jOu3PJtNqbBqLmqcgAmTcA6Co0Z1FA8uxm4JLEyH5bOTLS16++
o6sbTb2XtcDNVVkjbh0k/YRi6L+IkQSnEl0bg1E1zBy1bEQ7+OcBSebYJmY8NZRkYZ8DMq6QMYD0
L7QCurT5ptBg7OF8YFtqvPyW5K69WdX/sHcey3FjaRN9lXkBdMCb5RRQ3rDoRW0QlETB48K7p//P
VY+6ZdpEr//eTEyHRBWLRF2TX+bJNFrVUYJtvyS0ZYzIY0lhRGt1ztOdYUz5WkkSfZvGkti5wJ+0
Jw5vqhC7IoS0rk0zg2TSTBsTtQwEtJGvm6LTtySNinVppCetrI9Ll95kpbbHc7QESeF+ZkRlI8oW
JsbpBEd9P6drLXRApPdRvlbT2OUHoc1rUFHetktZydOp6beeDqWpiBoQnPDN7hg2uwwWLO70mpru
VDUMA465xqo1DOU2J2i/KhbeaT3ZJBs4HG/cSOkgW4zuahYRrm2oaWCQsuRgte24jfT4Ydbba9+r
5TpWiJYQV/4g8hYGWGyjT9aeeag8hvARigJypfwRJXr5fmyt9LEEEbdq8Qru5h6srj5FgnhIqd0Q
jiehWy3wW/i5r4xG6XfuyEg8HkmjB06ffMoKgq4qSZr1EBXKTu3STW/l6zAsPWKl8CELr+Q6ymyL
OCjXVSUd3aCpity3yYneLtp0m049l9eCiDYUlsTP9fwCZLLbwSH73JXLh04b4k1XaT1bWN6cE5hS
PrPNIG9qe2/PI8gNxRm2bliad7rSPyWe6JRA7Xo4GLE+aZoMRX0c+a6cRcmgsgG2b9243pJBetCU
UQObEtm+OniHEjLNehxnbeUN/R6bgfRSk9cG8LdOylI5MPXcJYbxOLQponUUPxR1enDS8jo6ra8o
zrm13oeOfuyFPZAoyN9GGyHRVDD640II3LEfTz3b8c7zupSRE4aPKFNPOq8WV/FxGMzPoOB1Dln5
WR2RhAdGTYsLPjVJIYR3bfGpRT1YgVzcoyXeoh2dQP7A+5Qp57Jw4XgkGiGmIbaCaRbEsRMH3gh/
vWwxwzitYW3mmV8hYwbC+NF9ziBLFf1LZbI8uCoaupM1x2TUXqfMttdtZoDrbEW00XptqyUGzFmz
WQ8powpn4RifU24AhOe5hwwROIp59SbHXYmC8By6Gn+zUzkXZPngV5049qm6A9VF3MMMN6mclCYe
+agUHCMjXC/opuatDdGMrCEJoGXaL1nYF9Yahvy51LuPwmTO3VvvSC+Rqy60VdosH+CKQs8U0443
nW9iXe2hsS1BbjsXwnLb2BMktJvRp8VArAah7ZTa3s1MiVI94cSbjLey5yDXW8MPk/xD53o7pzQu
WlRtFbPeRlAz+Z36zLf4b+s1dpOEgUX/uU2cKxjebs2Qad9Jvk8v2U0kEiEdKuwFxJ8MJr9dfluA
BtKS+IEUxTq2y50j2UE9EKE86Xwwcw2j09ZZFYCGUMROSe67KknDFhAR8uUbiszMlZdoJwNRvXWv
SZHlfmSXd2rSNOt/z0a/Bp9R2//8bHR5G14/vf4sluh81W+HI8QSleAIsWYE/C8noN8ORxp9oxDb
OZRIBrs8l3x1nODL4xxFEw59KKAWNU5bvx+OVBUziuMRpP6nwWdD0mF+PBsxU2CEIfUSenfkn38z
KAl7NnUrTOYbBmjGDCeFzRduXuc9Tos+rtRZBwuglyd3ye+gPoBQyaHcKkytx5jNZ05aGIedR7be
u+F4KPxJsT94cXbOe+9pWepHYyw/Ew3a1Aore4LlH+UQ/Edrs2KNMC314kQSiQxUOCD+LsZlVGui
cLZqrmqGQ3ZkLxtD2Az4CZbRdpBzN7XeZbnzFM3LByVEm2VAvhvr/jFLumvjmRcY39oWa+49UNxH
IaboEg7dQYxDtZqV9qi5KSTLctgUk+A9L0HqskS5/b534w3n1BD1udyUsfLcV7AXOnLHunfJQQUv
sCqD0mHnCssWkZcNjeaGTe2SugZ3ucIP+Ul4yU2bafYqSuoZEFNBUjE0fK1qUX5QRqwUoAOeNmx9
pZKuPcV6KZZMX1MU4qynRM0PjkhAuowgQBS2o8kRchMYghwsNaKvSV4aEKGh9fc26cj10lhPTT3U
mR8ltFp4Th91ktMg2Ccmu22XR20cMcmQxq5R5KElxOs8JfRxAdiZsorEUW4GoViKFaPVk2sP66yd
t2o+cRYd7DW+OQ4kUbSdVBNh+kt1CPlC06kGGTx+q1LrnKstOP1ueb+YWcxEigcnDvtHSLnvk/yt
CS0y2LngFtnu574/To2Dqp6WO6Fj3ImzCsukM5w9VRR+NhvHOFafZ9M+FBVwtcKaX2vNqh/NgsRk
Yd5p7FVjNe57mBRTmqJpW2gJShLuyGFwja2N49xzo/YUAoezMoM6LtwnZSCJa9fKZvR0nDgDN1z4
K2447hfPyjDgcJE1ozLwBg5NAyjqBPLQSnWWa6mHG6Pn+q3guCED9rTk+XNu6Z+Fwc8sTOt3qitO
ZZg9EoR8iYrmOiGV+1PHOLlc3rVNiTlVxDtGII6fmxwUp+5QwDjz9XR5N7CVlVr92s0JNlb96KUJ
q371YidjBxlmzEF8llBFmvyhN5vHuLWGVdWjc6hOdiSLv64WyEmd81J7DAGa3j43lXMHemWrGuEz
LQXTVp2JiPf9e8uN7gBCbxytvCF+djNVqsdnbNFPqYsQV9vlacloSzDwO5SfMjw1/dCluLjCrUhG
FfyeqQXCmq+JbQUud3XoobhWOqd9t/Tt5ONeeOWcXCIuZbh5WvOgYVtZof892NI+Mwl4ZkbjPJRl
dCRK+bK48Tn3pltDV7aamjFTr5nuACksPIw0tlPvh77gAQxl+nZah6n+ZqXADekLeuAxfud0ING0
UFy6hAinZ6Bt4fBBn72KcMQx22qmH0a6E8QhRqPcjj2Ej0ZjnDTlV0hSd1nGusIMq96HQ6yui1kb
N6XtfZjCDoZ+fQ0xcvkIRmGAlS30C87E6ya1jvBOzCuc1K0yixg5inHRfVVqH8PZwJSVLdzgxMlY
og9aqR16MHPcHzxl3WU6VJQoXbWUwWwYpWA/ymg65rzIMSDOgiarZKi99lYVMB+UL6djLcobPzSb
06I5x07XDkmv7eO4u2uiYUCUNPb2Yl6mXjmKgneZZHVQdSgs1qKYAbGHII2L3ncd89ex9L9yiOwR
+fMt/yTa//yXIXH+9gdDEvmlX/d9zfnFNpnnmohxoNTkxvp132dOTPCJLOSvkojc3L/u+9hJ0QLs
362mv+/7AEmlWYICNjASBKj+0ZDke3+EhSbDwQOfl0EpElElVf75N9t+ipfLHUsvvfABWyyHG87W
/LsCFk4jPxwu5KsYFgw56d53mW5//yo1R2OsS1Z66USa5IFwVa7nXjMz3ESDWKcGaWM4+/2pSfDi
hIkWDE56HVvHuXo1N8rYNRlgWA5XMzmo1VzIWrmWqL7KFHfUi30/xOdEjjt77aQy7QW8fa6Z/k7w
KBKmwWrKXLmQA+JUrb2NI4fGYW/NAC+9T9oE3hy0O3/YZeAH8v5zIsfOaIvcJpov0+iQr5/kgJrm
ldA+jJRhbMNxAmShcNFLPR2WUr8I6XEsYefr5hO8aGfr5JbxnhYGCr84FG0TNYvtddzXVU5cniYz
IbQ5mGVqYBd5VYht1CgBEwyGe7Hndp62Tk+H1mS7MfQrozLcp0Wvub7WOox6BRLeVhMjKi9tVhhG
GExZRTeHsKks5cbFN3fm368CucNlytQfhVJuXWEmgU1b3cqLdZIJjkvXWW5mh36qbffK67XGe2uO
nPaoz2IQQTQbd8JprOkaa1jLPAAPR6116uOA0f+FEbb5PMDBwps6L/dmV/amlNUqKlaqrlV3bjzA
0VTH1uMIxgHLLk00iF41A72aOOD12ejXUTTvB90aLl7fg23lZ85GurSvLTVm0wwibJ6Ydng1vRQ6
hl60wmQV5cN4tww9hqs5X3tC8+6imZh8l3I4c2cv3oiqUP0pMwMubsznk2e3sIYTv7ohsOtkWTdd
qQdYBJGhobAd7KWP1043Q5rpcs0vvdC8tPGgg48C8m4bwy4HfbJWQT/fRFB2wOUUZ6iWCOVtuYE/
fWsKa+/GfRqEdr6jeTALIkO9tt54j/90eIyGyf0sIFy0aRbY42R/FkkfWAUI3bDWHlSl30R2t1F0
kXEeLDYZg7WU2dOqtatPbdu9lUnzNqfzU50qQWMMBw8jFz71lWMuW3NSz7M7BIbX7bCUn5aG1rZm
+KBa/bkulE0+amujIXHQzx/LfgGe8pH6Dy0Y7dzgcBnxTVjDi2UnH/LFNlHWs/YAZVRa/ZYTaiEJ
Ev1so3Sy179U/PqogcgDRkPrcLA3ke7uenV5mcJ2jQ+Qehm1XsHiBZcK6H2fwkwK6BQILD7SvMc7
q+/LYEqWKEgafJzmoCbn2LQzPw712y4v2zPtF8dIn3iYO22b1xOg4BAhyS3mo8eHSCWioXtNMLnu
yQXnaE7iGcCtn1nOfa9Ht2VdnRz+e9C9U9EPt7GXHHLwh8yzEhpU6GKbORumMYPQnmocOfW4ZEr2
HkbLe0znh6QlQpK7h7TXbplMBmDgA5HnZ8tM/Tqv5+PiODsqo/DbxfPHOnN2vTyWN/g/YyZM8zIe
XAHtpF7K8tC54lMxhw4o1hLvdsQF3pqMbFt71TbEcXy3zEq9+WY7+gPnG6ahn1ddWQhE7BqLP67F
H9b2eNaKdrbz5CJq7hVD7iEtDmjZBbi7U1cAanKGcBMJhqgwHt+0qm5v6zpTH9zF5XY1TXd9k57U
KQwyz3lWp25bx/ZnAP4gfyqkgyjl6Ad5dyMWSW2Ro8jQav0Rugjzr0EPHLfbDUJ8aJyl95O0fdKd
GBCz1nENgmBEo50/1n4LwbHKaLgMS+gfzVY3h2vOTL4tnE9zXtz3TnqgvOK4tPkBsMvJqcQJtysS
KVmhoJ2TnY7R1G+huNmhIjYxWjsBL3Auantnzr3mV7F9UGOPz7URqaewg2WTNtNjmsCI82zQwvqs
35gJJJHaliy9JDsP1XKJ23SfjdbWAsIRJKjt4ZfWRbcBJiD7YjgTW1F1AjlPs1ZJL0Q+HslIYTHS
KVKsxOKLud2ItLnJ0vyO2UhEb+OQB3apJL5ByiFsmmtitENQLCBzGW09mswjAGEkr54KwIiyTubj
FaDhZZNl9aesVrdaBaLJ1F7SYobTbfu2Z+7Abp+NVnDldE5qrQ7AC5VPoWYvK3oTVjZn8lWWF9pe
qeRa1p0Sx36nqzkFjaDxXCV7mQvsPinlhWszjm6MBf9XKYfzFHky9AUA9CQMTBNJUjfnXIzF/q8f
1Z+sakxl4DWQ/XQ9BJAfY+DpgiWgAYt9QYUIjPTQMIb561f4yTtJXSVmBxcEgOnivMPE8u0xh7qq
krhNFF1yIhOKfZP0CRaoOzpeeRJgaDP88dL1X78m0s53H0DeyA+vKt/3N4ervsq6yjQU5azO5b2F
LLSix+pet8Z3kcnZA9U89TvXerZDgxtOmfkDPUN8KkZBpCLBMdcs74TinJKOcRXlDZvcG7UPboyZ
mGz5ow3hMojIhzi5+WIDPOWeZdg9T1Mp1v3ilGu3UhhvVYPrk+WZ9z3NKR9EmXYbikHpxkiSjznP
6pqOnzhgBZ6DDruVD0n2vjfzZct6+NhHg74nc3jFY/Updbwdm9JD2zQbW9ZG6BbDADVW1qnKCSUf
y3IL+lH168I2iShArnKS6U6Py6BMsLOBKkP48OYjD/3nugUK1lbJvjEVJFXzYVrSZ1PNDhZ4Vfhy
HNaSkGl/2iUYTXqKPpf0qCO9lnOoB1ArVTaYjFVWfR4IHaJyF2eXAVjZjGsykTzB0E67iH4hMKEi
JXxTLSkDhDw8V7VLbtOhX5TgKMbC+xjo72qqlIe+o8DTMLA0LE63VSoJ0unFqx0B31WL2xq3W0ND
y6rVDhCI4CJYBoIvcYOK9t1yjndTOFFn2vSXCuUK6qm1bxrzjVsuF0gCi7VlbqPKPDlc6P/mcfu7
Z5zbxLdP22hyxNAXnrb0VF6ji7IBo/s0bpe9tbNPLluP/xE9xjpoZ2Y3x79+cTm//UY+/Pqo4zkl
m6sTE5ff3DePulbFLgByUzlDZF2VJ92vNuT4taPy7GzUtfp4o/in52Gdtqvhlf/JL8RtV4dkE14M
5jx/8918v/H9+s0YcCTxfyFlsv99/83M6lgAn0njS6xeKyOny+a5GXZ//Y6/X7N+fo0fvGVLU9DX
Gucxm+tb1Oy8+fav//0/fA/wPhzcxYaN0fj791BM9gKMEJKYUK41VLnGumV29+U1/r9f3aVT/psf
tqx3/a6b/L85TbE/y/W/ftnXazuVICBJ5AWcHQPUE7+fr9d2Xf+Fm7xr/poOlcjR367tzi9YDVn2
ue5L+6L8o69yPXZxC5ukY1k2x2+DxOk/8DJQAPTdBw5vo7RFQE+FvEFK1DN+eP5KzQiL0Y77G0HT
18HNPfPclNPRLfPat/rmyQY2XHOf3ZXCyZe3WLS1cgsLibvMQoWCBN96cVWuOli4XWQehITj1jmu
OU0Cc52MjuBEQnTxEWyiDKwuB3KMXhWoXVZ+qLveUHPr+cLinaPqBdabYGt1uI3QCUbQEif1YZiU
5WBV5RSH/uzOCSJYFsw6MbhOaT5HXrlQUqqG21kT1CVqmcfgNBqeKmYeRz2xs7NrlLQBJvdVj2dr
zeFf3VSaC2W7IRPmDB6HcgOvRp5LYojNCavRvGPmNN26jjTf6vRuY03VxbXoUhgM4ZFiX6aVEnYT
/TzluGvG9qK1IMO6sn5pxuiE9CdZe/jA9bNqRsdx6bh6p1gw8cjX5OwxGvctmW9QQKsILhPj+i76
HI7Cfk+hBgdqyJcxdGOFnSVutZ3X9HdxZty7qVr2e4zdSneb4A/YWTVoM07Uu9qa2/LexuOACN+H
zrAyHIwmhjbiCbRC6zNzzHEPhqXfckjIgqUor3PaXpgdHEpWoFrVj24HvL4dDwr8IbFQPlQTxcIQ
ZSXVp7HU7wZ3+vDv4vFl1Cc1sD/X/bBTds3rfwgDdK8/D/zk136zgoAf49TpaWSzvohi36wgLBCI
gr9bnr4Kf0RHpHnK4ziIGocT+tsVBB3NsvjYy5wRm+w/WUG4Cf68gpD7xhXt4pxklfthBfEKh1sH
h5ibfEho0/SbWqgH0JPmocR4lPqpXTzOKcK9A4bbhQ0epBY3nRFEd1wqtAp16cMEvDtzp/sBmPcc
QrPnqsXQSZK+6eejiLJ7Gov54oACtxIbZ2JITlNiIKaJypTe9ieJD1+wVhb4Tag58rDyetMW9/Rn
w406f/zyIEsSOa1c+rqRdPLFNTd9mrpA6RnXU1fzMkuWeZub8xpHAHzzpnogLtyDlIB9TuUxt61F
9eexY7QDH70BlJ4TZegkOb1p28BKxg82I4xUstVBVn2sUxitg528s+sJdKZj742JvLAks1Pt+M6O
zK3rVIsfwk6MJcXdoAdBl1z3Qbi7dmLxnU2cBbiPPswi/FAAg2f2UzNy6F4SyYkvTDiMgOOxyZQb
TbLkmwGLgRtVnyLVxIABcL4SFk5Z6c4I++7NDnWondn8mlRWeMS5QbespTO3iOw1zRLand46TWDS
TOonSM4rQdZwO47ZkaHZgBMSSzpOh6bjRjr4i+kkeDgdsclnQ4XROtFCybyNq+MCgENHgJlVdwqy
YmgosU+qIMyV2e8w8K2aNosxSNGeOqtJCJG1TY6YgfOt640d15theRqXIQ6ESuNg1uboUnYBlGXM
shfRDDoZUC6gQ1sUd22j1dfY1pO9qzXTqfYgjZKZFAfdxj66UkwzPYUjdOW1Iiaij0uuM8WDnzm5
ieLS4KbU+1JXbzPhEfNHzHlkyGUO2xDy4Hsl9aLPpouJuJCL9UiWmFyk63PbpWhcLumDXNzbhqpJ
VnuEP37qI/n46NSyG6hyW1Dq/tLIjSKUW4ajDhNGVbYRR24oJjuLKbeYGp0x/bLpsPvQpAosXG5I
pdyabLlJMQ9lZCY3LkduYeLLbqYn986v2xsbnZBbHkaw4Ql4uLu3aTVbxXJrJEoP3IbdcpLbJqBc
JC820n8X818Xc1a1P1/M/1u8fhLNHyzjfNVvyzi+DRm6tEBU6V/GLb8fBPG74iQlzgcl5LtzoPsL
R3cQIjhb5UrtfrOKu7/ommORcfnf4u/8k1Ucw85PqzhruIqxVbprGSX94GkVlbVk1hy2N2puPGR4
p/XWOhZme5tN2ExHaa+OgNUWmrmj9YE2F2nBRrEd/W7qEVdrenOcGQMDKfI7WPeLH1cOpg6zs1ft
opE1kW52j3+rdIR0DFTa3osanZU+v2+kORy1wV1pYjorNcbxoqRGi4+/Av6VeakjDeb5QOlU0431
RcV97nBGPDvDUp6IM8OQt/k0RiFUHl361lvOcK60stsxM4WlKR/iklISksrVSm3afY0BPnQho+Ot
YGsyize6wJ/oUVbgRls7gX1ekT76sG7J/eGsX6zoA2GjlKt3z2qP/b5s9ql20qQlP35tYMN70U4I
DKrjADe6lh5+B/9dUOZTFuhLW60rrP4QRyr8MM0nAL8HratGGt54Q2AI9i1BgVmhzGYu18py6skQ
QIh/b5EpEDJc4M342zzyBk2E4CcDCObgViis2k0m04eR2q+ZoPErMYAhdFHU7h0ZZiD4d6fLeINH
zmEi70Cqn3JUGYFItFjb6DIW0ToDAQkb+lUVim6dy/hEmI0amHb3pJOsmPvEXFlMA1K3JFjTkmCR
MYzaoM7dbbkR2B4921D5YEDL4EbUqZjZyHJEikhXLP3bWk3x9TgPpre8wpgrt8XMuB9SEgRKLxA6
PAJSn9SwkBoZ1UH3bXIkhsZ7WUiWeEaR+lmolVzGGQ/d06nECzctBClxs5jNx0SMYq8PypUH/NUT
DKvoGygPcaa9w9BybvAIAww30yAZjTfyQm+DM8+btpvIYLRuuHMm60PBRxSbtB77GdcGEgA9glvU
HgtXPcDkf6kW77jUBFwtEW/FqJzqmchqi3K+6aJQg+Ibjmxs7aVLFz4+w0MchR/q2HF3pUFJdqoU
9+FioBHp/XNtOPuspp7HteAZzKRLBBvcxm3LvR1Zj02sxgds0jbNhss9/+Z4qjlm+ST/BQ1yduN/
6UeGtkpMx5O/vImQiGqHdqCF5nOLYAxmndNLCxfl0Oo9WG4FI2Y8J/g/2hyT9dSKd5EaRrsyjptr
alsYZo06gMusbdy+eHJ1SLdRF1NJm2LP1UXCL6gqIWCk5GHobeHT3ul75oIkfFLEPxTXvbq46r52
472jhfnW5nvBCmLQYSc/pW7RXvGtLitRlzuzo6hPsYFREy1J047LXq5ofNKAtyhUxJB8jZ3AY6TU
mRotK/wfzI/XlNMdGdtHbUqPVtMfhDFfPLO5HxxcJ0tbbGMlzFZlQXlimWmXYeofE0HIjATetTD7
2ywan9xsOrcFbhqICqtswE1SiPSJivsD86/d3LYPUsJc1X0JYkcIA7MKNTNtvXbURmyKmYma3kzn
sDFus5Kx4cRUzNGrg848ajW3PcWC4fsk0m5MkV6UobpyEgTrNrQfwtBi78+Wd3mMF9qsXTjxafGe
KQWOdNJN9CZUDyI2jxMUFTltmZhoEB14MvrU2iVfWqIAFuvrWNDQLsMt/27hX7ZwHbH+z7fwM2ON
jz/v4PKLvu7gwA2BXQGdxodBXtXij367iKHyWA7GDCLyX2plfpNyTI0vcphFWAzOpJD/2z2MPyG5
z7jGYIv/svP/kx38yzXru5AqN0H8nVwSsXhyTfxB6KtFbXZunMbXmufE3YFfURKqBG401u4Gc6AS
Kss6qyjVwKjMNcZjnO+YYTAjQ3M0Vwutux9tLfI+09K0axQIUK8MMFN1PY5lrhyRotrwoOFm1tYR
8jAgoKyEREfWIMa6p2GfQ6ldrCXHP08nORNNp3Skc3u2oav0HegODMRz7xB5BZoV78hbQOrMU4tr
z4QxYFdHjZf6pWxUsusxb24iUxZ29sY8OuvIVQVLoWsH6tL1ypuFa3v776P/5dFXOc39+aMfvOX/
uXBhe/v58Zdf+PXx141fuLKSt+YY+kXM/ObxNwlYgawmQ/E/SudXJdMkr6ViHcCUzIdA5SH59vmH
fif9QtAq0DB0/Z88/3yOvhkcWJBfNWLiHlorIqYJKpc//2Zw0IV92uZLqV9LTPhqlpycKPONYV5/
85P5g2n4r5+j3z9nvBPQpfLMTSQd5ozl/PBCCpW3ZFKykRIbClw7+ujNtbXQUJhQ2C30CBrGiMFI
68SNN/enOqseHR3bX8VBwx/BzK2zRsuOQ2N50K9gYRsz3QyKRX1BODbvxraqfLhfSHgyTBW3+X3F
C4JqyK9CZYKlOWDQ8OTUgUutvG+QAyKo4x7rYvI9YmQ+XX9LwACTABLNZqE9bHTT6oIexmfQ4kuq
HPNZcZ2zZ/ZwMjTjXYyXlpGhdY/z7E4pKF9ULCyQzH9V2VEDQGFP4fxlDIuIG7D2SMtrvlJxCwa6
7JDth+6W3vrNaPbPntu86ZHzPipmWEpkNrPeoaB4Tq5WEx5tp0g2sF53eKKbbRs3/Iaa5lHY0S5x
zcjP4/hIeO9DOcbZZijUiksvzKlcTBXIJZkIIo660fAFw/uR2gPdiS5r15wD36uMAH/3+96hq6SN
zmIq+hWupTun7rdoYTvyzwqxs7bgGzVw/XQlwTTduldwoPt4JJlteu+9jhyyMQV9jcbS9ma24oEI
XBq6+f2lWxLIn90ZbZtWhbMyMEvkIkJElHoDzZkvOk2YEwUnWNm1ZJNp+bXO43TDyHu7FOY5isJo
1Wnm1hv42cYj1mZwG0NQ1fQTEixjk78T5TIHxtI+JTaHzIgy+ZXR0fAx9nvNygbcOupHGkfhc4/z
U54k1nYylht94pTYxulAvUjzScv1TzrYOT+btJ3IvT3XSM3PxnFLPPC2yNwAD7h9cgyMCnZeflzS
6l3stDG8OvFAjXMamLUDuK43to4z+roRbkj/eMx3i4mTqznGa6xu9WtJiUizWVylm6GfYHTT1ClL
cAboTdTuzLEuA9UZN5o7yqgPaDvMexybZrrQQtK/pvFpVL19YlGyuhAGB2NWDU8ZnVwEkkYNWpyV
ALTtgQEGWYpviDSzRravk1F3t36ljPxOy5Q38JfZCpjiLb2MMoI2oCa2HcfkMRBjhluhsPBIj8PJ
bej2VtAHKQQh/YPRQ04Jxhc7dVrwdtU5SjDlttVEATppY7M9Vfirhq7djWP3bgm5o07sT0OqUp8g
qN/iI2uUGSYT65gryn7JyQ7GURyvl2km5Tkkn+xxLsC+pcZq6rW7uLO3k+jeMmrKgZ0QyLIrSmrW
3GX3sdkcs44Btu28TiDwFmvOfCef29VM05V5P4wt0bj+UImI8kOg/SXkGJwXJB/Njmi0sR4NczfQ
vNhoMTHEpRq2hsOIXtUIZ0aD+b408bRNYgxCpWlW5lhte4zbsxhfYGES0pvNp65T3TMQGrN+kOJe
5MLSw1RfwPP6m2X0e7lBrqJsFyY1wRbDLdikP8x527Y1zHC25yvNss7K3IaH6V6c92m3Ul7LZ9pl
99wdV+GRKm0yEVtj/9evL9WM7xdxXt5z2Hdwx8IL/2Gyiy+QobvdL9fBea3CvadStDu9VyDU/fPX
0VUNeyzlEab6I2uLrAfFYNOwXKkHi1GA8/zNi/ace/7mdb7f/X79cfLzZA/UoLByv/1+96vhLFi9
xpjato6NfVMZeF3N579+L18w8z/+0L59Mz+8SB+raqvDTb4Om/aJC/J62Kmf3EAqEOeCZ2x116yJ
92703ePFDfLVZTgnm6d2Ha5v08O42iFNn7qAvxhQUxaI9dNff38yFPXTL1XOMB0wcBzPf+S/5/2y
0Emvalcy0JfwFrvAWXuODjr4Br8P5tXhRdtO/qXejDvL8otjvDJuMQ1sYF37X76V/+8DcVot+Zn/
+UFynf8nEA1S6B8cJPnCrwdJ7lHyoqI6hsnO+f1AizsRv0IuSrqNEin1zq8DLe8XGWzj5Kmb8hgp
IT1fR+KSBKRz+yHFRubsH+J+UGS/e44k7kea2WlkAncmB/A/POd1FGJ71gakUFM8jVILGRBFFI6+
lNK1zVVZpGLCZvnOMqvOh7VIr5SjOIgbxOtbZSgPS0QsP1tYo1WkGLgeTtCkLsMnTddIfZFkL5KF
6xmoUtiVvVjXoYetSWo8KWJPL1UfY3JjhlvOo4cgxK5SbuwFkc9BLGJBiHYN8hH1ns8h43sy6tV9
I2JEOCXxdppKHxLi02SoR2LaF0GFH9R69Cm1SbUN7uZqVSFe5WOynaWaJZC1QMK8hJ1+6OyqPcYI
X+oQ5ZuotqlTGdFCbOQxm8HZrpOKWTNZ88YT05st7DfH9dKA9DZdzAht3mS8K3VRHqqekBYUrld9
iG9jqc7xbX70yuImswj6GoNDF5ctxNOUzsi2qrbNSN9sLTjrhHFxlBJaDcGXLFbxZkN2nSSTXeTV
1oTSDsf0brSzaMcUzMWTb1FoNi6E7xKFkJky3dAvB1E30p8SCPAgSpGfdU2QPqd0uaxGIvQQ4/F+
7w27e19IlHxtAJWHgHqzSMy8q85Pbk5W/Dq1jHKqbiKelbMleqdYqT5j8rYQbKBat2lv+mIi0Gwu
+bQtEsxedZJ6+wpu662R6Y/EblHO5lrd6QSRKCgxXhaVrj2AqF7/0Nt5dOnASh8WtWg8wvPZrrLE
ekzVOw3YDIcMF9kc6tAqU5MnSSMiX0HdpoF1NDAi6vIquwLOK6hyVRRxxVAbkpqLtljSHxwFzXpM
0Zt7Lka5DWS05EfMeDNMp2dAuJ8coziFChVk5Mbo/2m6YuUo/8femS1Haqxd+4pwkMz8hzVQg6Qq
zdMJIaklxmSGBK7+f2h/3R62vXf43BE+sLstlVQFSeZ613pW/0Y+DuaMZb5oRv7K9ppQXeTuJt8C
XByne0OHZeSW7Ya8AlZzs0Dx9oIJrzq5NDTv7NIJ3SvRo0J4EwDcufjS89KjX95zVo49EcbOIns1
aOmHcLRnUh9gmMbbPO4up0G7B3H12vG45JBAqIw0Uj02JyJoD2ORXkxK8mmFxmMkzWIdN+F9OBJm
SnmHKiOyArNi35p5/omWt5fQVQ+ODiY3j/IUCZQttZvo7zTl3qomPUUVcMFwmRa4w1kJ69ac+F1k
mNw0MKux9qxxgh4jdPreUReVZtO51z0ux5WosAFN2Oc4mfdmI6mTQ1gl6/hMFaq3SyNNAh8kPc0y
h/5Sa8yYlzR8OOIwHpLmuWnl0fSHq8w0DrE+P/YF5IZBI9xZm+pQNXRZccHCsNDyW0AP75UpSYVn
OYw8x9sZXWpuiW57dLuW7ZbJuwxKf97PFobbtJLpoXCr9dii5BqQLJYVl1VKlNsMX3TZcwIxMOIE
PZ2RkY6GLfR6r/MWsCbdmJNzlfb+BxYkri3XeTAcC6hgndICDphgoBVtUy5LXBPPNDzod4ZfBLkb
w6OqWrlqoYr4ws73EoiTyDugXLLDYsz11s/RndCtd1fiXcfsf4UjKNxFkaYFnN9vhQsbpI7oN50M
993AkrQVRU4/hFNtJ1OjQjgxLMwzU5ARfm+6mdqqmjBq0oj7IhmKVS/c5KOKtZNTDsMWJwslFMmT
iodz48d7sN9fM1vgbQenDKqEDuWjptM2aW0iOZyb5ZMEnxJdzQb4x84Zyi32iwvba+79RZptFpF2
nsvXck58+GCDie9pfiZpPK5ctF3IjPV67hvayPJTjPpLFPp1RA0WiyxsFs0xpy+eGs5823f2DSrw
Ve8T6nEWUTlFXfZQmXWNAXuzCM+2whgPo+reRJNOQlwVaNTpIlZnRL35aeZnf9Gx6+lR2uqmUuk1
1wNvAoq3RPmebQbx3cInGfRi1y/y+Oh3dwV6uXDao45+bunjQ0Fnb4iu7qCvV7DAMQ9wVy/Su5s7
HMsWOd53mEMni0Rf6Mj4rLEbKpb3BSp+s8j5Lro+6V/qPBap315Ef5R/5H9qaOdlIKBl6lB8HxEs
wwIYNsYB8kSy8ZdRQrkMFTIdQzxWJbEY1wPQOemvm+R/d2U6O5S/35UF4CqKv9qS8VU/t2T07JAE
9NDj/hwuBM5IiQTCtu6Q8EPD/m1L5v7Cf7v4kr7Ld993az+2ZDYGRrRoF1EcwQzn4z/R9lx3Ea9/
O3qwJfMxK/kMyF0BWsA2/3RczCQ8mrEL3VNI03PU1UNx1SljctapHKoKHmzSzztPte1axjIaH0t/
8d6V9IkCWUrjl9Fs72RcT5u4xR6vun6HO2PDORxlQie8VQr4pqWfvpuA7LhRKUEl2Y9FfLZPMKc6
dBIN7ry8hbD0RJ+tyG46EEd30G/2vhqZaYdLz3DLCDbR6J4uPAjfQw3NR4teJvKz12EYJ851nE/u
tV14iC2WYhCIH53a241NSLm4d1zNDELWKbVtSQd251pr4+Sx50E8MI9VT5nhx/CksnKfxFQ98Ahu
rlRqHVVv39oRXPLQLR71eUl2A0kp4+rDWACQuDsxDuHWbEiaYDR7j4uU0lPNOjm9AdNxfOxjSg9M
NoTaoG00yRIQLdxDq6oECThmwG3hWlthxU9g9jx0ogwSnX2XeepMTzlkeC35Rsj0XvbWp24RjGol
b4rtdTeuiQ8+gju4V3x/ivKq7HUyI56TgND1GY2mXqQ2mXv3dS6MoCyIbRdmp63G1NgTbqbCY2g2
UiUHMwZUbkNch2PDDKEl4L010jpn4ZiOZmXchEYv1wxXMcxYxr7MEJoMj1SgP43GYRqWho5e/6aX
/sbrW7nWQjuEKdjuZOG/RXF5QTz6ojV9AocesBxz9u/cEGaMT7Z6DLVvtj8HuT4e6Dk6RQ3wCXBZ
m6qZnT2Udew/YfXVlSgzJO2pXtDkh4p9LPwTndC+TcGyP8BBXrb+XF43liBdT5zr1Nmpxr4xvM59
ZNSICWsUi9uw0jiz8kQlgtnYUOuHdkFqUUZQPvcpsaAy6o4dn2DX9gE+0WQ32qBEHb0G4FBYBzlM
57G2n0Tbnfwuuae7Plsnevsoo/g2XqgTld7vRORoBxZtczXEze3khvfwfm7muucWgRmwwcMarfyE
PIdowus+nPdTHmpY2LSPptbijW5V2W6yeUjNws/xs2JXi+wWSxuRBWFN85Eo+jmdyikoPVutq76g
BhxMMTMjdQmW8xt+W/LnHvHRNrly0gqnG4ElHKoLbyPPKbGi/pwbYGOJ9K3RKxVMfnf2G+t50GLq
vrmyVukknXXcm19yIo7IhOu2n6t1B5V/Xhy0rjsSIytIUXXZ8GDQb7fXLK5OMoUKr1/ymU/GzMPR
fbaVfWegYR6GEt5C3hgHjonmBgI3xGd4YQ7D2rUuLStQdXpOIoeWr+xW5sMpirm2adbE75Jm20T6
10ZU1IGTc54ALYEy3YzTqi6ceyXwDeqN/hUa1qtu5h+6aR9qZfKcjzrOE5rxabXaY0tCZi2lfJQ0
h2wNv7+bJuKLiSNfysmijb2cbCJXU4w32rVG58ZMvcrdAE+Z1lNcvwNJwU9hk9Jc7CS9TZsOLcrb
OeN0NczvjWm81GSo9r5eMBDw3eu5H4qN19EybjXwvhyLPTBObAgEYXvQ3e4uLjqAQDQm03ReTqve
pQMHkttr5Vh3nVywybGHD6EP1aYh+0tipSowKOinAWToFlX3c5gnf1PY7CxTY9gMYenus6zw6USz
8pXfAymQ0AdwDKkPpHW5Fi2lYHqo7FMy2gnNofXIyMOIN6ZR3yrqco+TByhWzABGkmLkc0rwYJjT
JrFTwtBpXF1JVx0mGb5SGz9upAYrw3DJfo4mVytNRB8OE0oQcem8tQsSjJY57Z2iqQ9lZQUZwbVN
7Dp54Hkc/FgP512R1q+NZwdFo4FkAmPBlv0m1hIHO0hCphuqw4oRAhVIWlEuh5zwximMKnBrcagj
8xI3KChcmXo7zsn4hEAMrsNhmo5x3y+pPJjmVWcejcqEWlvBHM3GqNjHRQEBQkk+GzVpAdgNDPJs
7lcRkbqV3Q0HUxLDpiZ5xoA5XES5fwz9+UJLZrnxBOebMJtvGhluYADeeZrrXM4tJ724B7HL/v+6
6uP7wmDwkNHcEGDBSVZ9rDXUj3cfTo1XlxSWtxs9BliTwEyLLYRMTh5fdwnztnDWNxmQcVrL5wuz
Cy8xFm2yGpkQg+fWTGt9Y6BRrBK3Ofl2+uFBRc7bEEHCBY1Dy5ONK8vGxeFNWyyPyM5zzXxJV4+i
z97KTLvOm+Quw0VEmk13tmkDDKexqs98dr8iqVtBx2h60yQW3xKg3Ebl+ktF9fVq6IkC+j3EXqEP
G1U39MQTAKXnR9+nYxo91nGOGSh8cThMrQxuXTeXX43sXmxToxyvO1XfpyGd/AiBKGyFz2jCl/lj
X3rM+kiirQxNu5n1St9oeXIlMNRiHsouctw666VIyNYGFjAhPkdm6m4fXnrhJMHFTEfgdkB5Mg0e
R/EkJ+g5hcHYe5IS15K15gM91q24sHP5Tau8LzVyfHRQUIqaxtE2/WT4F7R92e1at9q2FX+rSu1R
T/XLObqQpNCa3gVgm735ffoetyy+A17rtHEPMBSXq8aL1q3THOdWcXLL+HgkJ/UU6WecuZ6T0OBY
bFifJv2GxPPcO4D9/M8s4IMEDtbkYmVRPQca2kt27Nxe2YEdkpHsBzsdZlbOcbbB70A8Oju1twp9
9SRMvnk1UiESphcZqtXOlN2HFeEQc6G8VMBkdVcC1C0ehckDz6e3y44FFmjPPDFZemiU4jjaUo2n
VfV1lfiXRECYojr1ba81CnXOFkwF5Q4QG+dSg8IxoeSK04W3wiUcBdAj0X5mBnxwuO/kUPOrecWw
jdl3wh1I8D8DXCms5uCa8VFN6Vcs7CSIlHeeRLor513rY+WjO2oqNmK8JPN6H+dLAYJlyTVj8F2a
LlAol42MOb+bngocFb17TnJpGdTIayGwpLaq33CYAcgzVGrzIB6aC26f+2hCVuP89igqF1QDHu62
2Xp7M8r3BsjKocs2oWdWN4XTSHxeReJAALZsoT3FhKMBFGC2bo7M/JRE91KDNwRlPmjTzcSnU+h2
om2skOlRNLsKsIGfQbBCBRgzCrA4c+5mP+JAX2qB5qbVpsg0FSRWuaE/qt+EQ/kMFG7eFh4V0cMU
iW1upA9mU9wpyyEDYwINTJsnKyG3A/aG3zTpAiBhh9i13sjtXI+Jb69iFwBTnHRgmVzukCwjpWyr
QVAEVo48TgjGZDoPtpZHGp/f8tmxN+/9CTt5TC0a5ZJ5ZW3Gzj0NXXL2e/dySSWsijZ9E/60aX3r
ktgRu5uyeufZAqg0B3hUeA9tkljHrtc/53AodnOqgxQfvL019NcQiwghxfNu5CixYl+jNk5YfGuU
3FOJq61tvZyDunUurTq/NWjCgqwxrG1Zqj3r7qWvGJNONg87MJj7niwnzzdeEKfkOrPylognY9t2
dmg2SHeVwW7XF9lrVidrKz5nlDmlZHjVSLKhwRDme8NJwzaORNmdpZ1+A7nKyERAmZ8I8UX6idxr
kBfDyTLODlKdNtfUNGjRcdDLp0xFhy5OXjq3e6h84q/prG+9Zjc67h1T0TX73tNUG69JRaCoJeRu
yugwT+58SPv8lR/wIV6O9i57wW1MQ98Fq8KrJcvhSc7QM8o6vQBGRVp+SEv87/OVGiYo3454rgad
uWV2g1noLas8rIdtx5VA05hdXiZm/CQVGui/Y5Zf/Tqcb//+QL/LP4viL0YsfNGP87whfvFsoji4
yyzqEZY5yk+rmvHLEo7nHwwzBjOY387zzGV0Yoc/Zyy/eXVMn1IZ2tUX+xsTRoa2/+Q8Lxy+0x/P
87jlmNXwPT06M5dv9we3DoWQLnYxzz8bsgF7Y4u5IqtTRsWNqUEM2NqxbMNXNMvmhqxPAbptSIr1
PPiXTupfNoWf8bjI3jOExonNwmB0UTBZFsoSOd2RbLU5H4rRrLf94N9wTP0C1pms3QZfcG/sNEia
UUvfm13vqFPbeZA2CW3vtSR/txvQrm5aXkapuskWOKfTNQBQnL2rU7bKcRfkmFoDeNXQw6YdnqST
wQ4oMcgQqQX+2evTflpwoIUm3ulnW43Ydg8NnXUV5NC5UR+sh1ee3+T2wqh1Xnyc1t0CHEX0/wRm
tMkWFGlKBInVEDwpZrsAS0CxNgaxryGYDgvKVC1Q08zUmi3d4MVBNz1+W/JUm7acn1AMrrwFjaoW
SGqz4FINJIHYAkZsAk9sFqSqaCLK3KCsetBWmVFRRbcAWIlQvkiIrESj2PWX53FBtWoytAO54FvB
VR/UAnT1E3gQAnfFRlfWAG4V8CvddeaGs6+EJ+Fjn5hupJ0dWhogVrGRfpsknDx9Qck2ZchwBUeC
GU1vhdFjmhbiqzO0o4BDS8TmEo8goNwFUTt8h9Uu2FoK5FMCUZzOR5i2M2xbqRXqmc/zorNfZ+lc
WdQpQ7KHiZoesULfqQWS2yhgRBtMCHV8qRlAa7ZFsmABqjwvY3jzXebXp5Eg/yFvyZ5TOhzvEs/D
kiKj2r8yXC0+ulk57HColwfel0rfWjqGdrqF/buQWKW/zidBiVtdIgcM9mTtkO+tfJP3Y7QTQN2Y
2xUNzBGgUE9e6Xh7wgX687/L4fflUGDP+PvlcN9LMNLfuv9cEZev+7kimr8sCibEVEbP+ANYcX6u
iBYNXLaw0fbIWQKW/7kiYtFdUjmAb0xG39/hqD+GztaCYRWGhRXwhy76D3LYfx45W1DaPMzFgvA4
6aA/22G6HhSwW9rquteP9DKl023Z7n73plz/Kpb+vsHuVwvkbyLqYhLRIbRZPrkYYylAx7/8e4uk
YK6QpllbXZsKo2C7suwWa1BsGoV5HetEJBYj25jdzGXieKc4jt1nVggju/F0e1rHuhwN8nQVoJ3y
UMfjZRLmW8dMtnNCf1Y/m+tpyq9DW9vkpXaYWh/GcXnX6bikphi4ae3ejkm7J/1M1lCOQZF0YmNb
9VGrKOX2svd8oiMRCnlfVQdozM/MVtnOJ/E56tqtZ+QHN8YvLMbmi7PNrsoTBcDMcndJbfVrDZPS
qrPVvh7YY8L6eSBzUZvtml/vOXL0gw4lBcppdaQC/RODMuC20WIoKz9DGheZ3VdkiPQRtEbbBFXe
w/dx1cYrlmGMMlicXf19Kek0LRCswiruBxEdQ8N4aEbubiPpnjI5tet4Uh+tYx0nqymCOq2uinhU
G792TdKhob0Oy+auSeCRuxYpG5hoVzLCJtC15k2u/IhnXP+spSYpR3fc8vyGWW50X4QHUF8So1y5
dYnF1bpwFSXBFY0xqzyr072jj6xncInWY9oX26QymOgNXoaGOz8JWaKeIpyWvXZrK43xppHfK+lD
YfOyF42+4ZWhqoNPFPeUd0qsGUEf4ZMSlRK1tRJedBl1H2ZaBj5Z20QqY22NNSe0vHgKZwj/YU1R
bxmJY+P1zaYb3N3s2h9VwuBRTc1F71ofXitjmkmTL0+yfY4sb97UnX+Pv+DLSuj+rZPPpEYkFG26
jw1iRoKkbBnJ68Fo30WaQsOzkIXxtB7yJEMRHLog8RZzgolVzWo7tbU03V/bRX/NUO0Bqhw49Lw7
xGbcLNr1XTR29aZ0o35dhIxOLdBTA0/AeVmdfS+9M8yl9og85ugPT5nOjj2ZnK809V9tAWUqVpjr
zDGjg4Tm1KtCwtGM0qRas648RFN9V1h2RdrIpG3bhRFaQgMU4/g6pDlXj6rpoFG8H647v2ROiNGS
5/eQFp8WRQzB0OgPWZRzTqEdZdQWMkHUoV9pX53mvUDTZ56WxWvXFEwlxpBBLyR5pzS2nTllh+q7
RU9ZTR3uK94NH69vfW9Hal6xr+Aq9/PsIdNN/2DP1FY6prqva4NnUPWJ2f6QLJjQvKy+ia5Glkak
YjyJmpap7oKa0PTJsjpQ5mGOYvBY+NtxN8VTeikJsiWadtv0qb/sNGhb3YSyoc2HZiPNpaav8aty
3eZUsSLprCOzwv5oXlmtLdmLaezD2nXFvbn06Jza0n2OPfsz0cd6xbJWo4qLQOYVbRSAfjzrbSEP
qi6hpKh/iXoLpPts3jaF2JIlvC2FeVAQ0ADLbxwtejQy56X1bCY7+oWvCCu4ZOtkfDW3XTAjcBOp
+cZhje5nN91kbZdt4aWvM0KKbtuQRkLla6rh5LrltqmznHHAvGFKopgScUxPPQ2tVjtPXfMoEz/b
hkb72RKUMurxSWs/7Z4rcXDcwLQoaliHhcrxeoSKTWzaT5q21YfJfXQB+e3qujHWaUTDku1VXXXK
TPNZlhbtPTNpo6GISFWnrFurrLQq4JM0dey6id5AL2df5pnyMavbgFTks1L5I3SOF0wk5o3e2/M1
D7w6aPL6rTZgvDbmtzH0zvVMXCr3owXVjwUJzW+T1KCdtDRPAjlL/96S3nQVyfguiaJ3pg3aWmV0
HDccFNlsQl0LC3Rmq4tfCki7morvkwSotG9qx35on3tRzsiMVImHi9u24uejAoBnz9rPWAN6LXc2
LRGUs9Z52r2TItlOk6+WTnaO0Y3VPoV+22+szpV77mZvU+fdxnKGYT+ITu1Qpsq1Kctpp2imZbdX
+bi5UeyR4Gzqtn2xZy97TUL+lg7G5XC6S4dlg6qFRASZIc2OuGer/dyI8S6yG+eAE/65XLptrWgO
T//9scvm4Xcnne8PXQzI5LEczjoujXV/fOjSc12RMaj769KjZkicU+/e4ae2OS2k/8uh+cddxPJa
nPRg/AiCGC7D1+XU9bsMRNuWY2eoVl17AMWzx3oKYu1/mCz/10ssf/+7l1B5neeqz9V1xY1JVpWu
8Veruvvv79lfvojPQdNlb0Wc6U8v0sYADdJCqWuzua/Ly1EjQXf47y/xnx8Lb9XvXmIxCP/u9+hQ
cCNhjeragupeB7MEfK3OhfuWTv/jlThq/+kC+OMrLT/J714pjwdbOnSIXdfTvBIFoyrj2EuEk+0g
j7Ocf9VEPsb/F32Wf7HN+09ns/DI2SyIIIghTPT/+HLQoMe56YTiBPQsOmwpzn0UX0zy37OG+PWs
8V+D/gdZfTbJW/4XZ43fRf0FB4rF1o7H6bvCwn3446whHLgsWFtZDL5XU/JVPwyuHFBM09WXGD73
7h/6q4xfHNytMLVRbn6NXv2Ds8ZfAD1N27INUoKsSsux40/rBPBMEE9aPV2NJhP+QGQ6caDKJW/0
pc8QDtlqkcrm6W4yjZ33pZNlqmC7nLKCOVZ2GxpopB4Wqn0jBnei1sj4iMBcrEs/fCPcdJeFmQSI
TsClnh0jMG2a3jlItVel43zFlccTV0IcoVQ7ocW3N7dumzTbzlEgi6WwL8G/y4NW5B3bfWaEoDQd
HBNpGjWnSheMq5H+mVtnF9iSik1bqSkgTgW2vgYynxMcWpNTYhKPa+RkDdMxsykiKLvwQiZ5FmSa
j6KKuOSxt3YApAM+CEbfZbLY8Riu2eOtReZWm3rkiUiRAzkWS3vJWb0rZyyObtzfCyfW2eygj6PD
V7T5TtqpSZ0PopKYP0tX7GCufM1p+orYjiXOGoQ80MgQ0gmcTg/MmEKGwvFV1JooCnH62UWz8cK2
l/k7jhC6cvN647Y5Xj7UA8AGfuFf4A0UW0fp2tGqRv3STopul5BhWkVN71w2rnvjUXh4x0nooOLp
XqsIPZdWAbrfK29ch2EhuSvaPnUL9E7JKW7OmHtYukKjmjLtUsQ91s+pie2XoYowOuhmdtGFk+h2
FCtNbJPnpnGac8xnN9D5lVxNgj37SotEyKA+5Tv5a8/XunPl+TVuD5QT+1B1k3GvGX2eHKjmmo/N
UPjnBA8h27zZYyBBwNsMzz6zCWYDmf81CD+7NLBpiEjOd+BvxLj5vvr/6wRbZI2/V0oOxfQXPrDl
a36oJMIGMo9Agu3dc/8DMk/4E+s9CHb3e4fez5ULJJ2DzAxww+SZg6D7mzXf/sX10Bv+j3nyj3Xj
P8aGSJHS+AuRcdGNebzZ5p8epmacVyIa3O4kMwcud5knm7GUnCVvyH3NjN4SPw5nB/zsoMdYCodM
bW3RGQKLoTEVam1NiZlf1B5dKmes3TbjKq9XdoO5eXRqSpvsPDZ3ZCxxnK0sK09a5vthCoRYC/2y
eJ0bp7eu3b73m2LjUlVFTt+2FW0VQqvT9g1UdDPPWEdpkmUkB47WbzmIx80ubSv/Kq71+BCNDVV1
SlkPdVlhU8afWfclzX1WliIt1Gq4gAYxBZi3ipObZ/2tcDL1rhe2XeGgj6P3wWrGIG91eQmkouQo
W4anVLOtADd1jMlIEMfxlDndCNcAK9KX6iorXHUSmEc3DUalkoz3AqEwmjeapNp13jGfhJlt40S2
0+4ePCrzzLiwP+jp8XdDnCsUABKqGF93uWaZt96sQz1YnFx5r48WPgPUYLvrsAc5+nRqCBoEGZnc
wKoEY7W2xWGP/GK+8zF1+zrUsXeKikiqDz7+1Zyr+Tqe55R+W6M33jPOiBd93UaHCen22bRbkw5P
A7dBxcFl9mR/7vvsg7e0ONT0e9+JlqabdUoU+cpSWDFsIDOnSWYR2Hk7OdlJ2+58qtu26ex7p7nm
pCBrsLn+JBvArtH0wRgzv8Rx2z72suyD1k8LshyJcQWrNMdaFbcZ5qMQWQW+/Q2CgBaw9rXXZgIW
lslieYE5Ybho2+zIjH8moqh5QW1P45ey4nzvVTI6jmVi8bOlrnaVhI5OZrgleltOOJ26jiW8nrxi
V0W4nyyiDKvRhhG7mg0/POaN5jwiazwR5TAuDc2rzvz4YaBlBEvb0sAE0TT6eZpjYpaeSg9Rwly7
JCDAcbuabuPGU5uhVfV2SvpxGw1zGLTkTaJ/V9b/2xeilv79ynrx2fzFRG7BQ/9cWanvEA6xNMfF
TLBUkP7cE+KwJbgu2JLp7Mccl/X4x56Q5fO7KCx0aNOOu+jCPxy2FisrxtzfQKD/ZCLnLtrvb9rw
YrDlfApulw0PYUVk4j8eG1xRRbqI5+7ktuB2MuIJBCKWXge3tvydO3hvbRipAGoS4V/4lJZ2lK3X
4+hyEyN9SQycX+c4LPv6wAgGunHap0rfEpfoXXA9TaOuC1WdKjNL7rFq4DiPzdnF8z63bFri9NWk
2ONmKqZoV+kh63XEeTykymhZ4g1rpn3x+9VaU6jRH6xQk6QfROfm7YsEuowkM2Ktx/Vh9k6btIFR
jIk4Sglt6S6a2dygEtP3s+2ILEMSihjYudhLxqFzNrCc0p2WTfVW1RR9DZkjtmqs6RKDqvQIga4X
+8yfnHlrtv0UwR31aQ/Ke3wn7JoXrAZVFBo2uWp2rvqJ0qhNZZTOXeI4zYK7qvChMPHcATfOurvM
zMn4wNzMz6PhxMaudvnvKQLFMyvLB31I/iFtVmNcugc8saa+/Xfz8/3otgw0/v4Wve9B3cni8z+P
bsvX/bxNfe5Fzmec38R3HNsfblOHwREgC8NiH7IEEH/cpt5ydGNjJEDDLrMlBIsftym3PX/AreoL
Rp7cYv/kNnXsRfr47T5F4tFJEbNICIbxzPD9P9EnxGBjKS+lPJPtAI3FHmUgIDZmoAGJ4wcDpgDo
k/kVl1cWgBXd6zxMEqwkca8dihyRThk3hcBcbIojrIm3rCch1S4mme5qnMVlRA/AHMOIyfCYrmM3
emmn/GYIw2wLCpg+AYdA1GLUCVG21jOxuQs5QVPMs7hliNIVT6UZX/ToK5eFKa8hZSCug7lYza62
bvzsHb9fYIbiOh7LM0NSrnc/fVZiwH9fOGfPrvuN0VPjkAmVnHun/EZAEL/aGMOrwo65TgYy/fZE
n3LnHoAX35vT+DlZ8xWBrvc8bO/VRNlMmke70ukvHOTSVTk4Z7t0jzkdqrha7QdY+pu57F5V7ATt
0IBNYPe2Ur53DebgIpcle8PsRG4/qDQRrntbJXAZQcOJRnvyJTidcqZG104v4wYr5FwhUNO8dSiW
KKhEUQ1iYGgB4MjXEUebTSOR1WP2ruob7HSBzIgXuOLs2n7Qm+MtbgHs7inBg0a8mQLuZq490076
RNY1gD9KcGxQ9t7M5Xsy9Q+VhitZImKzFUlP08BbV2f9DQUbI+EARz7W1oHWH28xmON3M2sXh7Lu
BaFi9yJtkH1TP9yh4G/59yRInDbfdHXx2PNjhDXkvizRQMspvMIJBrHGE+tSny7qgc8hTdH8Uh3H
djl5Oj0E5m3ilRdKhd+sGrgfa969VTq3Gs6TtdY5l74sQwzIbgwPEKdG0sS3mh0e2GRalwQW2YTW
6T29uR+eThViKG9knH0DbvAY+UikqCyU0fNL7atQ4OSnnpE96BitXQNZwWJ3lLghgJAkCyoqcGYf
xXjOdro17DODNuWiH6et0fafHntnNOTFfO1Wz2Upt76o8svY5t1eaNXrqJzVqhhFC4KVwT+AFEBk
tNcSY/KrK3rgHuoZ5aPqwcXqLM9lAqksoTVmI/uCWuCmvNBLdpBsvQMipM+J416iwtwWQ4nxJPHJ
G4h5JmtAAXERNirwp4Ir0zReq6K+8wY+eJtIymTPJ70Pv4WDJjbmYN/6lXfbq5D4BDNDEYYHN9O8
lc1Fv4I6HoxUrKwbgaMC8gxau8IGmdbNsNbm6S0CJLK2Ww2yCu/oClQ2TTx0X2UOz3D8wyKXmOgc
fZfMhtxCH9HYk8dEt4ZofuOB+NYNqIfjcJ/lAg6Hd50ZBtGAaLbWzMKYpibaI9tc4N+5u2XzEMTT
4Bxp91CrSuBmB7JAfkPD4BHK6ciWfltWlQXDCQawoVmfxthS9ahdjXrHyNKDeqhP8xtHjP1Udfaa
kk58ji5TSPhP7mpqYHsbtbrD1V2SlcYPHxqRD5/E4ecZyBOqniuQP/8ycuz2k71gY3Ek4uzUbmu8
f63kkrAcmRxL132omvrUIs+uyC99VpV+dnE8tunorAi8WhBDcHE6Aku2PjeXodB3Y2HxafOOX9QF
v3RWcDWR1H6xJCWIpcYaHCUeY5+BcSqIln3IkWIPguatdpJy57M0Whl6ktlr6zi2rmDGntucUmp2
Y96Gc+mdSqVaRVZ5Xbf6Lm2s+2pmrSw53US1QUbba1bUFb1FUXWE/300+OVI4WFlZJrwoDmzWFNK
VMPWhPfd2FzUWRu+DM780nT1LVGBaB/lGgNCAcmWBW5ldf1d5WGwbaDK9qZWbrzF26Rw45LYbN6X
SpOJVb6M/TML3S6qY7kyrPZ+CtVjZnRPTe2B1Mz6J4iO+l4Y9BuhIMRU7KTDJvFo00E0wsQZ1RM9
a+ahadO7wjEpTv//7J1Jc9zGukR/ERxAYShg2+i52WxSFCdtECRFYp5n/Pp3inqyZV/fG+G9dw5L
TbbIRg35ZZ7sS+CSxvOYTjjms2RrZ5BV8KRSJl85VLqJh8G5HdvjEjyN8cmKzFu898B4nAcQivcx
syXHQP1yivJaVCVjxMxocWc57wYLPXga72aImQ3XlhbsNXvGfuMs8YaJGfx1yyIZNl61VfZl8ATY
x4zlN543y2zckU84RSVKfRz2j7KbgVzW3bHurgeHQKjdE8+RDBNnM8bl4MU7UTdY9ZuYZsxll2X0
HBV02W4XrTl7s9S2A9WhW2RFpk6GSbd6RfiZtNdmrMKj7bkaE1U3Yi5Qhl69mntTUC9fvpPais5j
AWYa80Ruy8ekzMdd08VM/Lqa+R2ojxg2FL9nOeM4Ct2OFhbc7axfx6BbvIthNuVFXzS6nNvOOlCs
dp01keu+9NY875YJnRMdlhKlwUm2Xh1uc9s4iwq1rqiPDhVMlHBgHOu0Za1B6nmIZcUKMeDjIp6y
j2rr2rJaxY3U382ZcugZOOoMEpQINwERbZ27ci1SnX8677E1jXKdTtkbjUjFyg6jndATAdbQZHkI
nadoygfQ/aTTxjra1EZbIh0uW2eg38iVzinkh129dvrRsIIvtHftNW0U13EjL2Y1BX7c5+CNMv2e
Hz+7uJG9V1NyHEQot1U9EeN2domr6NympIZ30lN/bmBLxRm1SKgtTwWN3zRr39kk6JzMvs+9+mam
82DlLOkBe/O2ibObgedkxYBtC7L1qyytNxbXm84bC6hVfARo/vmCwYaquMrYMYhnyzba68/yIyrK
94XTUTuX5Bfp4XdMSe9vmBrPm2YCj8u6n60jXMirxmk3+USnIKkaiDyleFlaUgEZ6CYZJyzOrnPN
IfepaaqrSWbSL3NtA2DGt0f3ma1lO4ziC0aeE0/uXnLVQ2aK7qulBaMTZ+fRYKtNce8HHfTX8tGu
jKcxSNkjCvnYigloFtYM5BM8zBoTZ88OH8BMF2hb2WGJj43VnKcw3Fb4YdZ97N5GdsUerTn3fTWc
F+BQuNJfM4t6XuBX/NrnK5rq+v3czB0ttc45N2hXdnIWQi3a4Uh31vTY7NNSXI36gtXANKnTWRrf
WZzHZMzzGxOdaB0yJgaq1oj1EBFyG3oPMrAlTMKAjAaqlmiiuzT71hI4DvTkVaKd+O7U38iqNXde
M5S70Gvbq7xuZtR9yrUSVQ8fBruUONvOy0cYQwK7D9PwzF2sr8S4j04s850TlQeP01aF7dxMcHAP
DBx+DOz+1aINJI7/fh07xUXY/uddTL3ol7sY9jobaYQyoP+QTOgA5SKEWI2ozC3p51XM+U0Vc7kS
2dn9fxLnz6uY0qIRUSQ3O1tyx/tHHmapBvd/3MSUYsK0jsA0RS3wC2HF/FkxMQKzA1gm7eto0czm
nmhulhMCmHNjHUVaz6kD6218bt3UBMDvTFiNx+xW10wf4HfGnhtPXex3Ug+IIrhOWx/yslnWsxwg
bfR2i77RAtwczYzQS5mVS3pbEj6uCCFDZfg2jaLDDmRez05Rr62CxPIiJ7anOnotJa5WoXLNDBuj
Fesx7dH9DgMc9dcindcjcejICJ6QTwlIw5Ym+5V9BqfTjM00V2lqbppkKdcRX9Xxy37uirOlzc5+
hv0RW3EANCMbN5zc4lVQDNUr5dPfwiFx/M7JA9+oim074esq82RPzeSeU2G3mpriVTebBAkZQD9J
nfs41N7EuSrmc2lBDjG5NXjZgj0nC74atXubl/rGm4ddstwanXM/Du2j44Ybi5Sed/5XF/kx0ubx
+O8P4tVL+v43zyGv+fkcCnqKcJMyNnCx7UOo/0UTMX9DyuSBAoap0Eu/jLM94ABQz6SQ/KH++Yz+
fBDd3xxmQuiM0uDJUUiBfzDORmf565Oo1gCeRvQXWKN0Gf/5SWSQi0hWF/YlHbLwpIV5HdxNSCL1
nkKIlN3YojBPAmyp8YNBw8gOVsO10u41e58GeCPzWWDIGHXGwkkGyXvqOfdZUpVmkHVzbYyjYxIj
iUAT17zEPn+21k8Zl/MchA3mo623uHSJDxidZm5xQUAxHuT58FRM4ykpsq3mDhElwUn/pRvagxgm
51s2UdbYJpG3YV/eZXq5XzDIjSL8UhtFv9YdeiRagZuvyJt9txjXXuu9wxm4jU33stTuAb/RHVH1
nVa2T1roVqciKE91BK0zsuKD4Y1PWRf6rhbd5cK+524yrVCUIsZMZsXAJHxmYHEw3YrSveCZSOxL
H5kGsaiaa1M3jAA6oXvG8LHRvig7aYilydI71TSJrNJGEBnIrmtiYOTuQqphrZcm6i4dnJ+OHzQ5
2NJfynFczUF1zGUq/bzs9px511zyOB0JEgRLAbSJHJmsTG67cua4rz25TXRLjR/s0y459GFBJku2
C6sAy6Cr4soUJ/vJWO4ZUj2nCMaMYkrfNim3DOcMaGYVvbXUjfhzZdjrwph3MLGOGQP/HXT366Ky
xHrssojG2OahCiJrYzYfPf2jeyd1vA2TbNwBtrNGAfjQJm5ReLYvtQIRLzH+vUHWX93GhZXgZXs4
VrcZsEtPiUhIcX7SVdK3wyJdTXo4f5uL5eiG1nfJAAvKfeLBr1qeraY6wmv4NunLbY0Fjgn381gR
4W266AOeK3H5MYUv0ybXuZz3aTtRlmIZLaL6+D65HvFfw2ZYXoXbRPRvc8Sln2HpVg7p24wEWZLz
VFQjlJ3XAbPQFSNKhve5CiN0GMOz9agiCvz7YRfMKrcQ2DEZhoEwDv2proRiQPMdvykhsXvWAS9O
1U98ITdBfxUQv6KLt5yM4nkVpOgLbCPRfh70y8LDcDu7iaT00QVJw6Wf6lFxNM3E9Il6okbxmiWu
tEsShiadQHq54ZJA/sOuzRTVbyZbYcbTAe+rvbLrMj667rQwgrDHDZHbjisGVAJ9GLYjuVxXDy9E
qbHuCeNs9rRV0Xd2S7woXLdZcl07nPGF8cikd75D5EufCyMh9FmDqzGxFRhBQxsYjS0cvc2UdCPV
qhYUramoTKaVPLMu2YBdLjxtLQuQpMbYD9cgAOCFluDgtPmcCvLnHq7dHj/Hqs84dIu4fW16bWdA
pVgNZnMonB7Uu+0eNUrNj0aYueuSa7gKnzbfBCOWFUyQcUNri7Oy1EZZRJJkMkLjVqsyoBbdor/V
hnhK8jzYelStbxB63F2xQF1N08zelTlUoFZLdMYXdbkyhPr9Bk6+WqzgVHvRjjvEdcwTRacGTdde
cxuN/Kt1xFgjLE/GTKl4HnSb0iOxSJEqU0/P9acIlch0e35DC4l5JqDAVOZtXuQc/WOaORWmALTD
yQ37cDVWKEl2+kygdddr7d2SDgPES8hYEZDTwkjPbd+Q0+pzFE7Z7IKq2lMq+xGaAYXObB5rSFc8
sCjG4uxO+de8TbIrLxpuCn6iOFlgLuUl5LgQkBoC4iNHH2C+1akP3PepFAYe5vzYpSPzTYPKc8gE
/54QfpwQcBH+rxNC277/3XiTV/08I3yy8R0O5PBUedT+FDg0fjPV/3bxtJmcv/8Yb34S8AHm66AW
Oc0DEvpjbuLRfCMdviIHBU70FIX+gzMCAcW/nhFsqtMsaKuCAYpFjvHPZwTujKpOwRkvM2dfxMoh
4DoNgGDGHxBTRyOCU7ekobmZk2FIH4zeIEnHVDbuDtUSU+yOjJZetdiUl00yiQ6U/lgVJXJDQSHA
24R1DedZ1QQL1RwNSxwmj/30idP3PtH6VEqQK0HBAbkfzMviIWl8svixlzBBrJ1QLFAVP6n9S4k1
dSX7cDI2uQibZWNJgyChin9jNUiNXa9TQLVrhtCy7zMDiOIWcNqBKSwLTuFY3b7ShnlPH0iffIym
O21DyrR1+soTjK6ALPV9BFriiJyevcZkECnZwDy/mqt52GgZ9hRalNmfIxx8eo4qzGXAfh1sPCML
jb+7Tp+1iMWZ+jJ7jj6cUYNBXrgfnHSsVZeH+UZW/BkkYZKDQ0/+WJbjKQqhC7hqUQ3jnIlRh5qE
r4ErgZQpq3SXAvrBIrZqdE3nCoRp0Jhjfe82FucQ6rteDFc5MZYyPFaNliHDIZXQNOft3Kp4T+Vi
78zMDDekEK1dW3bxRm9VfUpId5Bl99lNqpMJqT34ONUgVnldjxtXY34WuuZ7RBx6z52Hj8WQmST/
LPBNZShXuqO9VinIT2fJep/d1d1FTfMhxyAgzs0RSeYc/NZjAzIu64TcMV1oaebQE0TuKDnznvNV
WDrlMR0HxKoEHgZEbmTfcb71vMDejR7ziFbxJEFMgcxoLHc19gFJ84WCpNw1n7ICZTSsk3DVNBaF
3yMUE/o4kSQr8vg9rvYdBKv6lhgKXr5wBLwUcyJB0ayJUM1ERPCIZFtaH6ZNSyuSSthXm8mQtMPk
cOeCqUj3Bgqhz5Q83/+7bP5YNllF/vuyeX75/t68/M3Vilf9smxCwsaOy8wYHLVatn46hXGFMB/C
h4eRG2eTwx/91Djkb5LaBJLT3HnQIH5dNp3fgFpjFuEFpsFh4h9drSyHBfjPIoeLD5C4IJBszPiu
ehO/mtc13Zhb0RnhJWCcKRWcpGs/m3Saa7D0jxX8kmrqvPUC0UQqtEmRhzS793sd5oml4CejZ+Ov
GvEGy+w0YRBeLV5CKG5geYWdouq8V53CqbhwVUC5kvmNPW9jxdWbwThn3bn9ddfTImIMzw50FgNK
i61wLXEYfXO8bK0NY/jQiF7fF7BdwnwMfBlA1edtl9seAgyTOp4/QzzD04LVrzAx4Cp4YDXH2gKV
+xjG9h37CfKewsu4JcVjOcSZMo1uwe+8LJBoNJUy9xScprRj1n54NbYC1/QAIhhgw91tZfnqQreJ
oNzkKFeEBvkn9gqB01bGjQYTh5n0uYSRkyhYTtJQLNDG4sZOkhu9MJlkxlQyjQqykyncDg4Rqmbb
8Q3aCwY9g9FDGrk8w5GNWKMnXwfIPQg1wFZ0fNKtmckrIn13LZyfPDfo+BqbbZLBztJgAUUwgaJu
OlUl2Cw5Mqu34AaFBgOzsOSQh6hSrsrehv4Rt+4afN5yD2iu2Hul3ZMGkwn3KtBE+IeYF6TTd/aX
+RgOETD/QuewraBG5uhqmwrOkaN4R5ZbcdYLgttZwZAiwn7bOaRs3ctyAjsKmlQofFLpaLtShcFi
uS2T+tuMjWbXhszFsirKtyze4DzgMZGfxlsELQlEUwDoqSYBJ8E3ZWH+1nkRvCjJoog3Md9kCvc0
wX3K4D85YVOdSbhBB1FwKEyV20ThonS4UXFgdJtBoaQETCkmC9FacjdfJwo45faIe7qCUDVizv2w
X976RjcB0NCb0StoVaLwVb0CWcUKabXM7pnbG3i5yXlvKuChjWdcF2NX+GbHR9m2kmkdDjGIpXB2
EdWduwKC1qBQWjGw3VXrymzftRM5u3CkmAL0VgCDSyoY15ijEyJAcClTqK4aZlegcxuurczaE8J/
9hLxqsP3kgr0pSarWq6p2h+XIB00sCWqX2H3QtsfZQ2ft/WcWy7inXU0FqRWYGI23L6pmfOVOcJE
ix6nkGdepG7pZ33PqF9O29nszBs55s9UabbQaGLOJC14V2yOD1OoMIlUmGymWMN9CiinLGmGSNOS
xHs/7sYMRTMuuWw2aClGFDonRhU1Pa5wYwGofF3K4NI41VU/ee26L4uPuKsJZUaHQrinwcUZ3yWn
ZWF6lObHSIvOeoI4UM7silbWs6k31hc6ggZodfWwrSfj5Jrg/4g7HEh9io2T8sbp6GtH68QJ48Pp
5JYeVLU0WZtSjahLZtVCp12jVuPreupGIqBqpM1s253CCchjIrvusaD9tdxOUWVRc6g15Z059u1D
OU3j8xQIkC6Ojq1kb8au/S1MS/vYMWwMbwAQh+6hqzXrWxA6IjgnNFHscpwj694LHo3Icjb2JPho
BGG2Cfi87K0S4MyYcPsa+dxtbApvV3wKn3ur3y+EKLAEOHtmRwGDQG5FYxzCbSuDW3dZLlPR45nJ
GYagid1kTpje94RTNnlFhW6TZoILZ/IRNvK2cVCftBECM969PTnszJeV/GJ63fd8Hh5qGwIOT/HO
DfDDeT2xDn258az41Kez7TM7fzEm1vGygAeJPm0wg/O7Lmj3dabh6miDy5zqwp878uYaCSWmfqOR
HgpFQWrN4kWWQ7QxBYQkCSopTpNXATqpTKbXiSF8Uc8VZb32LrCgLIWKtyQBL+nTFeYKiijpz+Pa
uOziPt5pg3sJFbNpAN7kAHEi2XUIFNVJgncyUDUYouGMzRT7SeaYCRQNKlJcqEYRogoTVhSsPVo7
RIxbEEfhDFDKHHTDz0cOToJBX5zQ3ZM18iqo6ptS8ahwc0dkiLWvdSSurYiRuh1CamsaMtLgrFKH
aBd4Kw2wEF4ahlvu8JYoAtY4ZadRMbGGiZkcWW0bWBbgncus6FkCjFaleFp9Um1jTwfo5UINhLgF
liv0Ha00Vgw/cVrFpg9SG65utsbdeSe91EQEsN5pjW22oyJ6mW53ShTjCy3O4S9OW6IcR0txwPqY
5kXGqQfQAazPiIDpAElRi+/AprzUgMQEx8oUKMcAYyw1+VXrzI6bHvyYhEOWG+F74nl7Gz5ZqfGn
AcQyBr/fKwhmuYh2/54nf5wnmTH9r/MkXIC/OU7yop/HyU+lnpEZcymbQi1lF/79OIlSL8hNODZO
RDVN++M4CfuX1gxGWAyz/l/f/6nUy98UkoLiLhPjoIW18Z/cwpHd/3qcZCrnEWDjJs674Av++Tjp
UjwL709fLmYePdQm551snuG9VnW9NhaqL2tnZ/AhsmeNQirvgZAvUl9Pkjz3nK+JC4S87A55kmwI
LAftWkrYrZtY9TXjxiDkIfTbUKOXtWMhBDaZJdqrQBTiUgxRLjrJYKAlyy50uIOZTPZtx56X9wnm
OQQ/SGPO3Zg6DI/Bp1LrwFWqMNdVtNAvNJVf51l7IKF8b3IkWumCNVlvOF9oMwR492hAeIDH+dZg
OLTTAiMP+P4qETcsCw9iaIt11PFkBV16Hiqar/qg+JgbUhARlRC0UIZr0eQmZ9vp0mEDrDMOC/Zg
UlxSRt/rMV/WnR6wnEzuJtQ7eH4lza0pmRxMfZo1H8apxFc0hiejxxdBU0JvYMTppY+vWyLtRvi9
xHBqhuox0r1nzZJALzLqK4HHdzYp8pjEQZMs9x3mtKE3qmsjGNkryg+hG+uhib94TPmRM/OrKswP
Rj4/pG1/0srhQ284kuraLPFimVRwxuh+mpZ29LSn+7rVQCREjg/jTawDofegLSP3IhAbuJrWqT90
dC9QD+F3ioRUJhCYcwSGjZumi19M8NnxrL9Fc3gsTNT8LkiotJ0Mv3AFK5a57/vmEmQE20z0aCI2
TV0hgjh9vutsUBEM9fOD2TV+29rnbiIhaJYC+0sxbC0awFOMbGk2AeHtOfgV00volPB72YuozgJq
oRAWEbpsZGovegOcpRkA5hopZHvmMYQc3TNzsGHj6qB4RR85tGqYmKyK5i6iXfRadDn6qgixwkla
Mpam30fDRBW3g8ksG+Ta5bS+KzR4eRmf/2t8FSyq1kGr2wfdtjHwiodx6Aw/jFp93bXCuEZWTq5Q
nzje4WXeRDYp4mCAI1xMoCMBlAS4aQz9uppMcQs0hPNpOuw8WnUZTh1zXGG4LsULCVUbJX+OL9Kk
JMcjPzS7+bbv2nGN8JLhKile57bciiF+KkN4Vx6YhJDyCz/J5uxiWRAypvzH6v5fA8xqDfhjrv7D
4WzaNjF2RvWEH/5y5azMCbyV5hmXLL9Pre80gI354Zd18+bHF/sVhfM334JOTswDOmskVBwUyV9v
tXMVTm0SO9YlbV/79Gauvhbe1b971Ocepaqy/vse9fU9esn/RvNQr/p9k0IPtgQJ9U81+M9SMZsU
mi9UJZfREjWOv29S4JbIx2DsQAv+AXD6k1RMYFEy+hWSFzEf/gdSsW2oDOEfH0CMHfg50In5Xp5A
8VB69a+fDuomTD3jbVwG9M92nZjmfWgDjC0K8BZZSOqEUz9gV0ZfoMqmkUIMdhgstYN37OzU8SsS
Ywiu81e0xXrXJ3SVFAYhP/ysm6Sv3kIxYdynxHQKdo4Dk2dtav1Di/Poy4wvc+c0TnAVWbNzSCZg
JrUw/UoOzdkWVo97TkTbSRqvHK8/9KBH6h2L60YkRuw7JWpDPPUYyqdbiRfjtq5yuCvpyK0xw6Xc
uEyEWNUYoWCiWs0e6Iycd+VO6TYJe21vJIAfE6X9un383SiA9MF6DHAdFsmwd8gArcKKy0bHBoON
rTAugUjK1dQX/L/IK/bSYNes+PZLnBWrRuoMlD2uewvjpFUDow5KyHjOZHBJyugI83bfNdREdoV4
6TKzPjkh21nZDRTDBMmX0gYS6gC803SQcQ5U5DivsS9Sr7hqeuio9DT6TeQEG93VlM/tzmuafRXp
7sEGQAz3jTJFx3vEAv9WNuV1zdkYr390JG1/Y3fB13BQs/2xWQ/kjpvKOui9d7bbsV2LVqPUsQAv
VWXlUzJmR6eIn6eka/3Z0z6m0IU8hKQRZ8M3u/Deq0LWByhDBAWKzmX/4ceCjsz4jEbAqzgm2g4H
Jf4mivLGnZOHVGdgMOYlpZaFPW00FwBKTvvjammxuAzts+tMfomljboQTKtzGEeYXOuHkqDBNtdp
vJxcB91Fn76W/OqzTNC1Eg+UqReLMai+ghLIUn9TtRhwdTkmm2bp3+irehow2MOcsraBaXyvghSH
M+GKY0FBUsB8chsWctg6kxn4CwFMvr2YmDewKVNllQNoN2qgtZZ50HrP24Uupewm9/vDVLofc+Ks
LRZVs1LXIVTqjZG0WAWd9gPFAOqLjpDCs1/5VZFm23iR5CoD5qiN5/k1AhiQAWrQhzJa1oFR+5wQ
AYJj/2Ew6q0jd7qYQ7AXdkF6pLg4qXvQtHjbiwPg+WA8e3zN1uruqnpEiqBpIc2dR+lRN1Ug340m
WHA6jyiZQrQCN9UW3ZPMyPGDTcHQn1TepsWfCcWg81ZdUmzLtDoL0e9aLMdt2FPWHl51eZXjdG79
WMw3Ihv2Vo+TWo54OZppuuSZYOKvZ89RS+rUqUA666M8JLW8El5+HXcV3ieTHvQWbmrJAWflOB0k
ysgAwBMaMXTB+Er0MTmC6jkjaoqS0uKxNIJ7DCmP6IkgM1NrB4jQo2jJgDweWfa6KYBFRiFjFK0n
rG/lqAAOZWTanH8ZneBxCXh/ddW3HM5Mlh5eF+bZhHUlW1NyeQiW5r0uTGvDqRa/Ba5onUAEMDOo
lB4/Vs5on90Pt92IZ9eM+3kzJK21TgcsBGmtf4DBPFkxd3eFGZsyCMQZtjQ9j58Xx/waIA37DUKZ
X3ekaNLE+GK73rPBrGEVmsWt0DhlGYv74Xj9rls0xcqHYSPa4baJ+l1QiK9D1J71QeMQVblHUiQE
kGR+m9ExSvGWdozG7D62O0gN3XR0ZmqmQjUdmQTlCSBrfKcYU3LS3CQWHQhUAa/fJkiCuTn7APrz
tUa2XM0GnDczjsBURcn3prIvYUnvvO6Oy9oiceIzWtNPY4irukPcREkLAVsRWzTNcaMNHWFuL7yb
QOL1QtuTFT55Xs4ps2qOQAZpvUH08us6n1FKHfpCnNLeIjs95Y2OoKm/1DjmdpOIet8dB8o58nth
D1cLUeYVE/CNNVjbJgk3Q+me4qrZJ23Q7Rc+RMz0saXalr4jVfS2GNXZDlmzJ8/cOIkyVDfvXHQ4
+9YvyxRuZMzT2c69b5nGM5YanPiA4qZRQYP0vexYTcNuaw18CHA8sHJXIMGwLHCryei3lV+rPj4v
lv2ediyUsemomnq55+Gmqn4Bg26OxBdbj8qlhQ4ya3zI+Nxy2QDZJUdmTIPQOAs3t43NRcGRS7lD
c3th72xweET9SovmcqObJnEwQtRgwmyxa9rmKU6NO4BQmaqruzdk95ykUbDC1o6i3/HRyGTFBWvC
fi/cVzNwp12D+sH7e8UYDvjbLb+3wYKQn4BkRnpdrosUArdScdjzziP1bZgYaIzxyNN0OIjMSis3
Xt5/h6IGC0/W382ooPLEa/1AC1K/GwKg704POGqOaMPzhjWQOWsVQFNWT1ntBy4GUanzlFVxsdJi
giJ9uJ8ppoB58mpCklvB47ubS2TNWEu+gR15s0fJhSnPd4Tudpwj+B0Ew52BW9tHL5XHRYPs3kVs
xYWV+hlHIz82lhk5yGgv3mIx0s4/UrRg383Hy0SJCc6Q8Eo349z3uuqDxE64gRP5DDHe2Gh1zgC0
cF7SCE5bFWpPet0Ht41bnFnNKXI/W+BQI0jjGkJw5B70T1xq+YOd2sR6GK5InQzLRv8ErP57jv48
R4v/eY4+vzQxsZW/OUmr1/08SWO6MJXBElcFRmkyqb/IPfpv0J/MHzIQ3LHfD9KmpJkJR/XvTA7u
V3+oPYwMkYZgE1msZ0z7/sFBGnbDXw/SrpKOwHTQCm+pm9afD9JJo6VCLiK65DoupHMkYPROhs5H
yG6KIrwpUZyPS18735zIGpu9pxVY72g6oJF4ke2DF1nlnefF9uIDLR6BlReye2zN3kCHZ5i3cSIO
WRYhtEml0SaVS8tUQk1Mzo0LSaGnga1XEbZsfiG19kJHnsWN9YvTujlVE/pOqACcmJl/GWTipgH2
KBk58uSwg1RsLmyoIaAd7yVVkboaz9WqF6FCurNAzCp6R6xewdgJDBZkCuzeO1hh06wGEntV7nyx
SPDlsWOsU1N+n4PpmgxXuPZI+9Wk/irSf5GLH61UgcBCRQNxgVBkpeKCpQoOOiQIE5KEA4lC9v1t
6hTZFYjFUx+ljF0CQSdIK0kBNyGWvbFy/YqU4lBX97W1VGeT7MNqUcXPPM4TCjcFibCaMdupyGNn
TpE/FWF2VeA/WMhFkmgf/NYgHNPrzfvSNjPWtinbuG2/z9pkp5OvNJhWVFImDAQ8HzAkOUSymEjB
GBJVroIIPZHNwbX3ccF/WcNE4NErHwqOncjSt64FBrTK3ow0+uqoAGjXJdYVXUwHTIG3sQqJDiou
ijE34JriXIXKFF5m1pdIZUsbKEaQmkkFF6eF9GmlYqgArJgAFIQEmbolRDumUxEbfqePuDLLYpep
QCu3JzqAyLjiEnxIVOjVUfFXJhcbp+pU8ouiYBWR5fqwtVRotldDUfmZpG2sQ6eitW5uT8Tl+ttl
QBOyzei6UEHcWkVyE7K5zZy8BgNhXSciA8SWvAU6/ugI90kGoS8Q9rI8ZGtWb0MfvmgzjJBguWQk
ghkGb73ghg9rCbSqv8q89GaZnW+xihIXKlTcTDHDPBU01kkcdw4fO4MMcknuxVWh5EhzHzXJRBoO
buwbCdkorVEYz/TarvIL1VYn6MA3Q8tMkO1tIMtmbTWz/gZRm2opcZ+rgLRDUroiMT3Ho8k9BonP
oxtnqBFhSVdj7STCPZ0bp38XpK9bUtgGjTKJimXrKqDdZWyPtgptc7z7nqkYt1jw0bhThsOPjDf/
eKoox+ipVvFvQ88vgjw4SaBtTT5c0wLfVYFxqaLjORlyBetjxIF8q+LlJKsb4pVEzjW9yE5aRkDR
/gykIy34kow6xpx005FaN9rgiXvQ7ONPa1YUpe89d7nKSLr3Bhtnbz2PTv6CKktXCd90FLdJFa+z
gNYKEvNtpu8sEvSmitLDOj73KlxPBrTYzmQ9LaGIPVzkZ5L4Xt+Zp9hoitsWQGx7nAaD4sSloDpH
mAuMm7rjbu0+AijIGLjn1GrSENtu7X5KEebMdlX00kEy7nfVZImbabaOuGuN64iHy+f3bsMmROWz
B7gczC2nx6Uuwi8w07NTYiX2ruPHsBkzLdsbmFJXpNCkuQq5r+urwemifaeZ2LhExLefK90gmh6k
/waZfqBfBArQf5e8zu/N2/v3/5zLqFf93Kjx8ujQXSguBMj4wwL5+1zG+E1Y7N90oUjYEr/Ax9mp
/4qO+H2nxuZj6aZkczV5YhVN5h/s1HiD/nOnlo7A0Y3gKthT/rJTm5oYQf+m6cXQra45el1MNWo8
5JbG6D6VKBOfnTN9ndS3huRCL3KKDPL9dDjoQbIrlL9jFKuE8ppItdhU1NnAKG1O+gRh/ylQI1+n
wxQ/25bwqXZgHkxHmI0bcV8JO/NjpsYU9l0mjSyuJ8VLILm54cY7VUyaC4dooWT2TK3WDnLrQsJ+
esCX891hSk3ZPV8AgtQ+nGwmF265t1rvFhLmx1A2gqhzznJjMPiuxi69D5iFA7BiK9Dnzqcu5+Iy
Lx9z0FOOGqGHapg+Ne5+cDBT5um4DxzxDHBvomFp7rn3Mvgpy3rYIJgn+8rMs43XSJclL2C2XkdP
fVp368KmGy8EhAgdgueNe0OGaUQ9hKN6HhkN8GjWn48plLyZOzPPbhTpFf28PM+terIJtYRfpHra
HfXcl2oF4IpoX2K1KqAWGNczC0WtVgyaGmARtoA5nFp2O6jN7Tb6XGgGteYIFp9ArUKFWo9IDAwE
PVijmIewXCVq5UJLNE9u1RCxzL2Z9mhOOXV8tKTmGAcvbbV0K5A6ABenxqtRm9a677nH1UlyjoZ+
hQkbtxbTlQiLvSLpbnU7v7Wwmo9cGuk9Npv0HWvYY92mV6WOZ4gc/y7DEuBL2z43nnZuNQDnUR6v
baLZU0SBuGiehZZeJWNcrmoB64OmvQ0tdQhZNR178rrIJ0wOUSdTjFRzLDZEVUxiE3aULGc8x9ze
QcClFbk00xqCQzpHhz4POC0GOFEmNuZNvoRvyzQSY9NR4ypP9Sir3dT2Clo6G/uNStBGbeUpFUtd
uzajadMb3Vrm8z23vWlNNM5eM/NKAOATGyD8c905I9Vruo2rIsxRzoisTTF/k1zGKjK8jaRB2afq
iGyvTZcJ0i8B6Cge/o+9M1lu41i37qvc+OflyGqymsE/QaElAII9KU4qKImqvu/r6e9K+tiWfHR8
wnfsqW0aBFHI/Jq9116LSVw7EnJSSvwzR3VKTK/ojnY8DT7bLGMTZ62GJtd4tScdrdxc3o/K9ufN
oBeDonVAgTB6Q3iyog3wkKU573kQfiV5m95dQ5aRzNCtteSml+wo58HY6IIlYd/O+abUFa+oHL2t
y6MvdAtGtGg6/EySFGGUGyWMjDhxyvSqaLvy4Z9W79dWjzXGX9wfZfETKKPBz/x2e+hs4U2DA48B
P24dldjz2+1BB8iuAoW81NmbfMjefxOJur84SN5pD5GQOiz3WXP80eeBN2LAhkYUKhHOvr9ze+D0
+7fbA74jgRKsbdCH0I7+2Oe1C2vXXvb2NaO85QSOT1S4NVwgAWttgjSn5hc9Sh8N3FVGyGTglOdZ
5MiZehJ0VlEnRXZm3yByUlJDXoNkOva/1ibQes6PTch2gPTsZZRMLMcu6UMieBG3McoLCWNYpY7m
VYfWapRlfZD2dNsn5HRTCJfh1pHgy/upeGbxHHMGmPtOdWptO5BCOgjwNjEGlT7U2m3Qi4ekMM5N
YWcbfKvo9MUd61HEajpRESXzvKrMj0UdnPRxeppbvEUI2wOqLSLnqgOVfcCgnq9ObCcQFByAidnk
8JVx2UITn4q5aCKbx/FuyCOEGcPIUetbwgGwG62EB3F2zN2rppi/GupcifvhpZsky+YQyFIs5Bo9
xE1bFvN2tAfy1HuvJz6y7nzTWaZ12tkZ3roC9CBqfYxLxkbIfl4nPXOo0R2+atZ0RI+FMqAJGhIG
9a/TBJ8fr/E2Ifw9ljD6YceeEpeYH2WO6yVj26QGldGnPZH1HBZLad5rdDW10xvESgZ+TtgPir6g
OlgRO6HJKq8To7xDWu8HTnWMUVNEwLxXAz2H7oAf7LPP1kz0ahMN686kPM1SvMek7oCcvbJAYzQV
jAxSJbFpKW5Gk5Xp1lUsDebm51zRNVLF2UC8SIBt+NzTN/tMw9FEKSqHZoc3k0OCpeV1vg67Y+gh
UNSieQ4V1mNJ5XGG89GF0wbgI+mxE3C3IrkLi+EUS4IrFSLEVrCQQGFDKgUQaQA2+AKmCAe6s3Fr
871UuBFdgUckBBKpUCQRTJLCTB8dGCU5HIqyqi9aVFU+Ta+BQFHxTQCdJFn+RO7nWlkXemF+EgqF
QnDhbhiz+ymVB7SF88oOIK1EHwAVhVJZFFSlqhpMkgq0Eo3jc+EA0UlgsEywWHSYLFbL3YtXZFdA
a0laCc/fXVmyQ0IHzgU18EgqSgrUGNZLCcwC2HF/T/RpyuYDIAxKm0OoEDE1rJgeZkzqhq/wLWMf
NArgYAWWAaOvQz/qHwcFndEVfqaEQ6Np5ZVwvLfiA1ATgqoxYNZAQtzGimEDy0Yzy5tRxCOYFfOe
Ta67domTWREkTHSudY6dSvMhA26nOHvGcFrscG2+5eEy7fF3kqkHUEeLQOsUCrJDwVVuO7g7iQLw
zEhK+ZYB5fEE0VlA5XehAvYARt3mI+rBQMF8QKYTagvfJ2vniw7vp1HgnxICEKOMxxKH4xXiG+Js
9Ok9jb27RGGDbIDYMJJACbXL/G0cmDwMCjMUhIblY3di2KIgRIiMS/zq/b0dMJMhgkixyzTU1FUM
bmIupU8u2T4Npzc7gnPU2UWxmWyPdrI+61CQ0m5CejThnGmUGFWiSl1QpzaoVImD3s9L+an4kK+i
Y3WUoLVC2SqUxNWdNHTuPWOmybAOIcabFQRVpfNJzjoaWWiguxnNrOPR2TbQr7PkEKGpDaL6W6dE
tkjETzOqW1urHiolwzVnCkihpLmeEuk2Sq7LFnPjKAFvgpK3UJJetl18Z1GRSCX3HZXwNx7GJ09J
gftS4zut5MF4RcldRzA8oRxOlYQYJ0uJgMlA1T2zThrfRyU3xmcdbwpSjSPSjaeZv6hO3nGmgo+J
nXz68BiaZCIjKnuPQnS5c+qAkyM3WbTlF48c5YU85UHnYWC68FA1fGCjpZO3kxG/rKsg5jp3bgaM
AzgNyZoMWf5kpDZL0pt5q2CjosuiYp0JI3IZXWnGakFMj+DAZOcoDrB5Y+Ra7nSwRnlvVMFL5HjL
riE7Oh/bcRWoOGldBUuTO/FoqqhpW4VOj7/Sf/+pkj6qJJOy4T9XSfdvxf+s3omE+kmtpH7yt1pJ
uWZIm4ULYgCr/nAU/lYrkYmIhpH6xAEi/dEz/26osX/BTWMgBNItTDVqWv5bqQSuHxI//8jW0UCq
AutvNNqm82/aEs+QuAaJA2G3ZtDy/6lU6mcph9TVqPHZm2flYcDXtioyGxGkDvY9xe6ttZbpJ1F+
C5UfT3ZMyzDW6fM4d+U6Szoabw7vCr6qz8ALUtI4g5KvwfvCOP485tMTuunXStRncFKHxbHdEyKQ
ZmMhXg4qtCxes8t1qht2v3eTkdQ+xusvNhqCwbHZa5ni1kPLtxrdQKIHbJ7F5HybQJltk7GCJIBb
Hy8iUeILxjPNWTbgkl6svurXsV6hxuaQTcKKewZAMvP8fqWTLTuqkFkrMJF792j3F5VAy/6V82qU
ibYmieu1+siqTT5ya/H0qRDbUjUZDB1ExfdLdSMetVWp+pNKdSqD6lko69gqz+ZmUP1Mqhob1eF4
rCpz1fP0Ivna0QQFqhsKVF9kdtfZ8GiQN0T7RNc0elhrECfeO6qj0mmtEtVjTUDINjOzSr8th6Md
tO1VLYrPtRElDcrSCDAJims8inZuGbd1GqbKtY1abUaaHuEJd3oujikV60lYL4VVEhTkgLxcpvIE
Jmn2NcfbFI53McMKMmd53ertLm+ibeY5V5MMXqCxU9Cm5nwo8dz0hSUOBGJTFvC+MWRD8ApsxBIi
I3mN3+fZDclGGmIH/yN/vpWrk2cUjGZ+CVzxkLkZOu0KxBEa76OVx13KCLaO0XBCu9s0mW2jYBrd
82LMt6KlKhA2SVMJfSMFmbgPh/k2qJuCBADzUofeVpsMpJ32LTDrQ5Atu3RA1yiWdj104UPn5hdC
tHbGZKgMS+K5CBFvR3rfRELvzZNn+NxQtNC/j+4TNR1YzqbdT334UNFCNGN83+T9S9zpe1LASLHN
osq3a6zfyBeA9uJUEDp3++TMJxBw4shHjm+zT94TCvWh4XfT5lAyDFCTeIN5zuLszEW+IrHdEF6E
WKnPzksY3OWyrg4z7e3J1Kz7uB8/FxoMrvah6VGJeLV3G0bJumqR1ldEF9j6k/CScZ2UyY7Iij2l
EalxpnmO2/Q170MMCI69JfEAaEZdrSE0MIeHzMcTOr55gc5aOx/Xi71cj2K4sGh4NozxWLYaOVUT
3iSJdEbYa4Zq90sYXUbdeq6bUWEqn7Ja6BthzNuapbUfp9p1ILxdkhcoRhEcIb76PCDQ2ZgjmcTh
DBFiyI5Zxn+GNGPs+m41NvkBo/5p6Ioj/+WymSbTvHJK2a1Sd8yMrR5zuduLVuR3Ec0mE3Y7/JQw
VCkkqykMa98Wrd2n8fCp9cbt6A2b2eVXMN3Xjm1x3lPEl3O3NvUe9we2qbB6mR0nWhk5Mu7Rsk+u
0d+5eo1HYRrBVjbmS9w3h7Ft/EwbiE53rVszCQ+o/G6Nwov9eRnOchjZUskCFUjjHrymwrpM5p+b
PidGegpF++gUlVgRmXrXRdbaqLJzVNRHrL4E8llk7fFZYPf9YuV81URzpou5IFDpD+Gsk8EUD/vM
qEEkGHc8JFdlj1wqapj+B2ILNY81DV1YbtQYqKxsO7QC/enISkQ/aqZAKjNqB2sGs9soAjsMp2Xc
j4Nce7jFJ69jLr/cdgNSaCevYSo0BKDzyLpI3vI2e8TB9ZqyH7Fqeega6721CJAr7YNuRk9DG99L
t31gYpqtpB3A9o0OgLg/p6JCfd3Ty4CuIQzrxPzpqlhosFt9PEfEz8dL8Tpl5r2nOkyDEksva+En
LDytId4WVXWRaJJjx/32T23y6wSHiuA/1ybnsujem/f5JzsAfu67ygRDhOfgrv8Y4nw3xaEygVpE
9g+HrPy1aPltikNlQgGC3ZfJxPd1ifwFj4dHJaP29B8EtL9Rl0Bk+vMIB1OPyiNy2ScQoKOGRd9r
XvOKCIlZ0QVzcxm2ENhBZArnk8PcsnT6Z3xIj+lyG6DEwwm0MQBz9V34yLkPS1GtZyvgXTUQL/aA
AL3MMX3MFeELCmWym4F+2R1QFcTnhwocmAgJ4qDt3Uq9gfKjmGFYDF41RRHTFU/MVGQxWrAAs2uC
pw2NWRA2V4VKEE9UlDiR4gXR4ovWYRIla3yM67eZ8HEvMt84o18mlUpud9MZExI55SqxvCK6vIfe
DjSwHJ5n4b6ixYuPBTQh7j1wP4Lwc1LuXoVKQ7eIRQ8AAmxtd9kvBKYPBKejm/Vn20FjukuBKdQq
X10m42NP4Loba/uRAPa2IYndMaq111p+Tkq7nogt6uPrifR2tYCuVZx7EEdfS1aMTLbwP9rjtad2
rWVsHKxym8B/QQDlG8Z9WJ8bIJZd+omyg8aMAPlWJcmzxV5nKlu+kyplPiFvPrA4P2XbsrbwCnXv
75JAO9kqpb7soDoGcb8Zy+SuIsget9+ytbAuq6jkfU24bqNS7zuj5YZuxK6BRUkIcn/D8Q5UldZZ
BEOxiwrzvYtj6yoreD1Eda0MITk5zWexzDHiTvsUkepZtsnbZAeeMtCeyGu8ENB3nVfW2k6gHmDX
PI0hyFPLWTtywVBuTTZ+ZskNq7a44VJOvj0OwFxSi3ARh1gpqD85xBhyXefYkwAmMB92zpustAM+
4m7bt9RCqmY1KF5GVcU6Sg1NWTur+taqk7tCVbwRn5xGCSwphWtVEwtVHdeafsjc8lxRNmMPeooo
oytVT+uqsl5UjV2qantWdXdKAT6oSnygJO9Vbb6oKj2mXA9U3Z4O0z5XlXzDMBT+gk1NSviqERPq
y3nL53EEEXqxqPNSzmOpZ8LPmfVUg2usZs7shLM70+Njx1leqkN94XTHZHsSnPaGOvYzzn+XeyAh
HcWLQoziXBA2N8XIjVH12mPMDSKK8qrnRiFw65DCSGJX/lpw49hpzR91GU8Wd5HZl+deXU5VOt1m
MFinIAZUbmOmHPeVVx50bjVIUfs6jK5Ci+uumc1jxf03cg8KdSH2S8M8pHsZ1VXZWgsjH9Kf1CU6
c5s23Koyro6UDHsrnZExq4s34Qa2uInDyrkU3MytuqLd0Lhvy/aZdv1I0ti55y6PwvmuEBn6Dr70
aRZt0Ws8h9z+Miz3uR27VG7FzlYFQux0Z1OVDMzCWTqFBybgt7kqKkJR+xFVBiCsF6HKDtS52dqj
EhkjeephqKwWVaQUS/7CBmzv9MwRqGIIk2BwTF1jZvbrQp0zaqyeqHsy6p8CF0+r6iFkwRj3mYsi
NYg/aibno34iD3j2CWKhqnJVgTWrUgtv+rJp7OzoUYWh4zhAZexgeXlHwpYvFvVaoAq3pAzPoyrl
YlXTqeIOleo12ba7uvSuG1X+kSS7zVVBGFMZxnp/mqgUTWpCJLX3i/oIkYZ9RofPtzHEWTse9VB7
nqg5yQy4FimWV1slm1KVGqo8jVWhalGx1qp0bXS5LVQxW7v5K26G8+wxmu+od1Pq3rSoxnVLJezY
4qqmMo6okKGM30Jc1n3DeiBhFxrx8jnJnPtFldaFKrIF1XaVF2dNld9BDYibehzx5I6IopWlCvWk
s63NqIr3lCreMML3VJX1jirwZyp9RG3UqHpF8U8X4Kh2gIeiQu5Fi2CHYt/SM7T0DjU9xEwvEdBT
gGNmKk2XUYzxjvf8ACPuuauj4TBZN2marhPaEyOxEQvn005a5WWkgYlVJ+Paw16jtekWF3K1TTCb
Tk3r8afRL5rqhSKaoqE37oFmuqgfETy7WA5Wgw74zLTP7UdTRS9Jg9WrXkt+tF0BDZhRoM/NVU8W
1TYgGoTwsTvw7WR/EpOoZze8JbaJe4ZZOycsvBuER+4q74Zis2iogIyB5OdwQAE0EI+O2Hlj2fB/
uWEkc2NoepWh9n0hW+luH0S4sCelpS8Hb7hKsomMOm3+VjTtAfk4cLe5SH0zafQVi0Z3I7PseShD
g22C3aydCMWLHrWOtsoTGx13Hp6QC1SXota7lwQdLiigpdFYyo/yth1B3kHRZRE64qKJIQlZOpv3
JVsvunYazeZqqOIbw0231pRsHGN5gtd4F9akRNcG8m6z8I0M5Fih1y8B0wHfCcdNo7egFVOMCBba
HrPrPg8JLJ7U/cRQ4TyMM5dMDIl/2HZMLWKzfaiEmNeuE71xsj4Js9kHY3QRcnoPEvOIJ579aAQf
KGYi2WoQWhd5dOL8HMSZyfQup/NNYa/lrA+4opuZFFq7wbTCEiZLy7uuTWNK+uVAfPFJTvFeb5ZV
mFaH3BtXshTpOnawYNqJeeuN+X2H7nwo53mdF8VDkQGNzrX0yED8IIR2BoDrUwrRLdeHLvCIoiEj
zKmPYdWRAGEes4JcbZOb1nS3qVt9YWi/SdLwdgqoFGZZbZYg2jRM6mXdveeRd9IKoqt46CYCk3sv
+2KbIly1RGWVIr7DKrSBi+l7Frs3M4ceMIn7NtWUCUfTfCYeoB7CzYIiMRgYuSi3Ze+1kN/0fd4b
L4OLyjLRp63EYWIiXaC0qFdxQfLFnKUvmdmjTJD0e4xPvLQHVxBmB61KnkAd7Ux3uRGDEWEm1x/m
EV1EUj2X7CiZ6hN1qA3x16ApB0LMx549v3k9SnEdhCaoxM7exEm1sQJnl3jxwYuFtw3D4Eik4Hs1
y+uu0nnHY9adbIOHJSxHydaL7VsEB3ITzLZ7KfXyqrDYdWQuAYiduM0s7ZR1mDG10Ny2LdjDQEaI
JUlW2+N9+CTHZL73OGnWOERPEyzrtTaWzxNRRZVmfzIMEriquH4RA+WLsPtt2g6ZX7S8azfQ98jf
MVoqpmDpRfuwyUDFV+m5QmGQYiK4aEZzJM+uXht2O63rJmeKPQGomnE1IHT8NmNf0of6PownbCML
AZIOtM25609Lo25tab1MOl+0BH3Bupk8cuRm61pP42skf76VWDSM0dKeQEsqp6b5bACguBqb4NZr
s08irqy9+rrbWKMZmHGbp81gfnIjxJCVdcuOMz55ZgFEuDqElXgwYEsspRSreOxZspTYO9JTHYpd
71g4ymT+De0NYz7TYNDuPqRdeRWzfUhZVQ4ZUL7W6F5mvb7zJjCNReVcJ3oI4DLZImGfIaUmT3Xm
fbIm887lHD5KMykgVNj4TzvrE7nUB68luAZ7MPuhgf+xVutbvE/IUQvyPhIsUKy5Km5H/C/CvJ/0
xKCNaBo2yW42WwZrQtPWNoYeB0vif9fx/XdLKQhQxsS2QbKXDhgaP/KPDZQRCzEZRhFfEsLuiuLc
EgvjWfd//SI/yrRQU3+8iK3DacJCSCv544ukwdSYJGrHFzEftOIsYLBp1kM3Pvz1y9CJfmeA/NfL
OMjALLyQLOPUr/FdYnEghEcXICjcjW9j+aiZV3/7/48qAeMt/lv+XH/+W7VEaZV4IbNLMfKg7d0A
Gfzv3fdPPouf/P4O6QT8hfhDSdyaP/7+oaOWx7LOLy59Bz6/f3l7/6NDWbEC/zCI/vvf50+ftWWn
OtIC/j6AQbTcTxHmOmsLLcA7+Up//VZ+8lIObTdoBov4XzYbP76VzGWXSYRZehHJHkd6J1YVS14L
hr4P3OevX0v92n96Wz98LMwuvv/YhR7nbACy7FLB4CYtgb6rW3OmzsP2r1/oZ2/q+8//T2+qcBKv
7N1fX4iNfUEGULTlHlFXcfVfnjX1S//5TXl43QEbw0ozDCwS378pUxZGycVbXFpzG2Rvw7SRwZe/
fjs/e9y+e4k/P25LK6mVUJpdCvctCT5Z2v/hcVawDMdS4A40pD++BexrsrM0A98RJyDL5Wz+Pxxe
qHeErdSkpOUo5er3fyTCbKjvbb28LM7b6Fz3So3S/Zez62cfOg8xUj5L4e4Us+771wDQBeTdXfJL
Q+E3+0oNIm8HbJfIeMz/8iT/5LVciOOGoausReZPP75WxMLDBNNdEFRMTbKJS4yMG6dm378z7j4+
/H/SG5RG+PdDd/3Wvf3PO0znbr5+y9////+7fqt+5k3iZ34fdxpY+cm0tBw2sYQD80z9vog1WMSi
rER5Jv5Fqflt3On+ghQaTA1TUsaQH9773zax7i+6hNtKpIFSUgso739j4mkKdcj8cTDg8lczVU4h
eDTo4Njt/viMNHWbW3IwlktVtQzIKTFWpNORvCLnRz2pd4ESmY56jTuw/0wiFzaMCRbNZB1bGWSo
aLRHb8DhKuezXEjpkR2wtCDrViKMLzaMtzlwb0QW6njzemNTj2KXTt55NOWpzMudG3r7PjFoKHAS
ubBl/SbEio5u9N6WxM9iSnjX7AJcKmEn6WCFZ0dZEDVApCu3lpvZQAiB62SXm/FBSByDleE+OZV5
Q+F/kSi4V31TDN6JLRD4qXkXTBChZundZkl4H1IeEvOOCknioAqzUiBitd7HMkzOy9JXb0XH68xy
2C1aE/om/EVEwHuaFrEFSsvIh1AKhiGx6HwjrK56EaYbAxAB9ijHW6dRTYSdJFco+xz28VoFZTDh
and93cQprvZkx65l2jqCDOcx3eMGg6fdYQFvo3VjZfrBmMsjFIb4Soe0GDDr9d0G13iQMlFMS0Qk
o31f67ENsKTpfCbHvAuvsS5uZh+KsRfk83nYc1qZHRjPXdvQWsyi6Py2C17b0H1INFceYs3cW3Pw
TpVSwDuffNez83XLSHdllNilNMval1HQIqnNxQOz0BZcuTzQw01rK6zukGjvJ8SXfiRT8CxLW/tl
3AYHppcCWwsk2SoBEEA7sFki8qXqAI2PDNMv5LXBka9ZLZOvZNx5te6uFpkCcoHsBXMzWmvo1bfD
qBIJMhVOkAIOO9gqsCB0BQldmpseKtIMJodYg8GyzBW1abLrSpnV+6YNy+DeBcZ4RUz911ArYZwH
qXe1VOAJoLwemjp8YFxLnFhH4JRWdT7n/6aNerkZ8AO7Q1EeC7c5k9r8rZzARVjLiJZ/eKlaxkOI
4556owbBiVbUH4LqBUeRwM+6nPpiOuW5sPzGTcD1ufAyS5jzozwjDuMroT11oy580o33iUHnYofW
xUFq3rv6VsbIBFsrLVeIzXcoOE+ZDdRceN3rUgWXQaSP3sQUPMcqFho1ijkwbX6i1/GmScp2G0cF
8ZTpOQqJO8nCaIMM5Fxk3r7jgvZHR/saB/EjiL/aD7UwWiWG+GrG1RN6jLWm3OKNa+hvQyM3mq59
GizGGmPnns0JYZGOEf7WTq3XriLiWXe+Okt7pPW+XnRUWvFiEQ0lL1NZGueiyXeZYL5VOfbRJFmq
aeigNSO6G0LRr9J4hvj+kGoba3aPVQxGHyf9Kojixi8q7SEesPN1aXbrxgRmGmXzqdK6u8TuA9Rv
ZGSjmvBtkyXrCOYzTjaaZu+XdixJ02LULZrW85GRrbLIO0PCZ2GYXggT83uLT90Y2+PgEAKQ5sur
Zw/dtiP92nb3jNIS0JlJiKO5PvXjcvCq+LMh2asGur7GRuzh6Ujuu0x+9vDeEwYICrqonadQg26p
5wFf4jJC4x91WCA4C8l2yKZdW7B9vP7nxv1YMqql23++ce+Rif+MrKN+6rs7l9Xdf8K/Sco71zaQ
gtu0En8YgrlzkSO5bBJ1SjMu7D/UT+4vgksSlJy6rpFI/q3EJMtVNd4fd+4H2slziIshtNrljjf+
VJcxOM6qlH3SBSIyCxBJapePy7//0iT4aqx0wtjAk6QFPFOJ7j0FHYOJQD1vBDp97vLsHmKjt0LH
te47eqGAh7TXxKHloUX5E/qNeo7xoq8D9XCnpv6KOQIji3rwoX0fSIrwzSW+mMTUMyg7Q/9c6eor
06svz4DUcuW07r7ge7WMJD7wPetGm4R2vnmp+gpm8XhnmN0nT3054SHckiytU8NqD5r6AgPh4rbg
Ox0GNiljLxlf9lF96xOZ3LXqHKDu4Osij7k6Idj17GZ1ZojKgiHHKYLn4rhwrAxFf3Tb4GvljcfY
sF8Ndf5Y6iQKiwBQAWdTaGifRg6rVp1azVyi2OIgw7P7FHOwgTzn+KrMGhJM9jhx+PXqFARptlfE
slmdjzgFWZul53ip3lp1gg4BNlR0ZrkfqfO14KAN1InbuPnjzBHc9uNrrs7klMN5cutd93Fa59BG
iMfbuhzkdUAMjzrZJUd8r876efFw2xJ0yyUwQhIQ6lZouR4KdU8MXBguF8eobhDMty9xJLlT1O2C
GfSpVvdNmnYvkgtotGtCTNWVxNXErj08oTi/xiUerQuur7HFCaRzobWB16xarjiDq06oO891Ou8K
5Ea1wYLwtQid+zCYd71KisiJjABMB0fT1N4nwiQWQiVswiX4Z/tCpU1Yg+tCFoxb1EvdTfGRSUE4
hX0qVVKFx6zYpoZdRyrFwunbb7le7xPiLewBOFGnEi/4D896X2+qsofFkwK9GIjH0InJSIjLsGZ9
x0IoXHGhH1uVqNGVpYWdOcfHQNoGfqmtpfI3oEBs5sipmLCRzZES0lF9pHWo3A5jNncGQR4pLtrM
Y0uYwtew0vEqUZkfUTNfN4SACMJAOlYyxNuyZfjSh2XzHBUdMldYvy7O38K5MyoST8KVS870rai8
+q6dQcXssElTlIptStgAVV7wDUHzeyA94UfY7woBl8IppqfWbj53aV+vqrK8dUKG2VF6S9LuwWWB
4SNBWFeTg53fIR80E83Wld21bmYWb67a1A47BnNK2FhP1gaz/ggs2sH9z/bdr+J83ZG/aNoz62Vj
XU/Tqxuwd/HmRz5okloS7TDH2qmowVWkpF17hPeqwixh3YeKP8lnxucFI1kX9JW1XJnM1/W6wflM
qLuRT9shZ1ZrxsnJicESdsj2vcnZjVSSQH/4QJ46JWeYerXp8Ac2mbEGECstnPWct+so9l5AU6ar
tolOQ+Xp66WOve2U2yARU0jatQCa7n0BP8yXYGbS7iizn7c2q/ls9clhbMBF5YZojsY48tlKeEz9
vm+bL2wpL8nkrtvEehBxyO06N6cldUiLkcXGArGMxQxLMVEIWz0V97IP3msc7thh8kPnha7fOsNe
Dx2IQLXcW5iqCVYcjhEOliRmseTGgx9Z/Xl0iiMmS8phmD9W6H5inE9T4u6RH7IFETvP6W9ie3gW
RnUIrGlrD8LZpEnG+TcVoNDt8s7scV7ES8OON8QOk+wzDkAcodeBvTzUWOxqo7sNjP4KCTtmRSbn
EzEcy0Lart1sTLbxZdkOa3wuC6ewufVkdxTFsnWZ8vrerOGaFCromwBRo3+FsQwb2ZAmLvTwRi/w
PofhLSyhk+fOg7+wLdvay3glbHyGJZvitAqTDRxc72CGklC8aLoxMw1PyXxjeO43k+DRIq9YcHab
lpinLcF1BQV3d5m76qZz3Mcp7iM/l7L3p1x6mykxspfUDEgSqYZvCUhMFioQb4pD0pWnyGNB2jfx
Xb8YayNuvslw3vSKrhlN07YGt5nqhvJ1p0+cwJu2kLeNFtDNKESn3TxP9XQcFbsT3SxUGAAPHVhP
g91SNIEnAvdpdR3HOADQoPYooPWAHcDebtv0aci0MV3rWoHde4EY6jLrz0R8MKRqTRRRdAItan0w
RgdYSC10Ag9utK44pJQL4ToETTopRmlg1t8cdGzwY9IzISYcl/ME0bSMn0sQp/Dv7izFPB1Ki2Fe
+0W6xroT3hXroUtrT4dF0VIbB8FdAUB1AqQK8/ghi+EtEaCyrjJI4u48XgZFX7UW934p4LFmPWTW
RjFapaK1WmpzbH8gXPMPnOt39dTNr3XI91RINeH4rjxRIwHGxRjYcNQxNCaD48eRQFvDwp09k/Dc
+3z1gpX4pvbxwvre28Nde2aZsSn9bh+fCOxYR/tyGxHitcf8uvunwP0ocE1mQH9R4L59aZgtFT9V
+POTvxe5OiBjKlicjejYKEq/GyzpjI+wgfz2b/ipPwZLDjHgwgVAy4AJQPIPRS7BhvAQWBV4rvX3
8JG4K//tKXKIzOC3w5WpMJdqOPnd9sRMhqJFwwR4iShB3+rjast+LdlUJPnlztRtMVK35mqS1vBp
TPJjRbrbzkbrv7KoHH2SlCHrF65+F4Y2WECZr/K5cHxbxNpRdMubDIzlGt7EO+VQu3FYBK+qLLgn
Vdw+FwOusnkw6201DfU1a6RNEkZPHabpEc05CHH3Ku+MK6yS39Jpfhqj/MqxUtLtWPPrxt6L8QAR
U0zcTk7UUJIhbweykikJOyAcRX63pP2eONbjaGuv6aC9U9LVaxX94UPCnHAP518BnHErCu26E0MP
jJ8zeUyZDRGe+3mOUApiDdPhVg0d4gXgd/1cPkV5eWvY4cYukcc5s9X7dd8Nm5AksfAcxge7Mu/q
1kaME7wvSl1U3Ng6OhRM5deFZ2+XKXnOa8zXRvAlKuTDICFrieTbHFoq6dm4dZt5RpGGbm8IW6YA
HaPhHmJbn0UZKSA4S2vPrNeNPd/nmIzWnTNae4pS6IYEPG8EfA6Wn5A/c1hbfhvgS9U6u11bXbhP
I9Kac83cYYhP7tB0GesJ7PQqmSGe6TFhJLLUzHNTK9FASQhQykr1itHaXUnYw8pimbSjoz5IdjDr
xiRaj3JA7vvAm9OnItSc8Gy0S/6Mq0/zVlkONsDPhsWfTORlAymrCLTdby075ilCVd5BlzZzwCzn
Luha77WRS/wV05yjYY+jAYgtPdhKFDwXR5Ad3UL090NjLraVNZbnfDHiR4ZHT8SNT3sqttcUyC9y
QKD0o5UYa63qyRac3QevGA9mLnekXvWsp5mGNbr+qPUBYfJiNDdTQH8zjDAMcgvBs9Oyw2gLb11j
2ViZ7XCekDk+8AQwvIRGrUB9000xcw26/Vg9kLHwuWVrcXSI2ENKEb1XejT5i0VCYOzp1xrcBsat
7NpzTerYLLt+3/RBszeQWN3Xdp1dhtIpHlIDNVelw88crOqhdOnpOltbLf3SEUQlSekCTNEHGgo9
BHGE0cxIgDzQOWYz+TnO0o2MEVCxIGGCRabeVTeL/2XvTJbjNrpt/S5nDgeaRBdxzxlUX0UWi61E
coKgSAp9j0T39PdLyrIpWr98HXEGd+DwxA6arCoUkLlz77W+9TQG1bKOhk/eJKBbF/oEdIiIj1D4
qBBHoQGm9IdHQhNx98x1sIq9rtjitk2fU8tudxl6INCBHpFQBKb3dMrWTafQbQ2trgUM9+ZqsAwo
sAzSj14/XbSgQyiGmZK5ZcyTSb7lZtS9cdWZRXvUPE6uLZXfIrXHef3vfvS2H6lh4H/ejy6zp+fX
hn3nbeyxf/nv//qdBsNv/bEXwXVhjG3/rtv+sBcxtKXz6jBIfxtX/LEXQW0j91ZZ+SGEIBhgB+OA
2EX//V+WMu0z5iATylQwGOcfxTexe/11L7INw6PnjruNwduHoRtZtL3ohDucOqDaS9Gln8t+unbL
ngAMPzxxUk2eCSMqSDmxbrFqJsseJOENqpmvWqRvqJQERksNaRNxD9CWUKC5SM3iJvjShBytxsyF
dSaLa4HVYKsTPLIdQCIS5URtWLlfpBXfOP38OaK9jKoLe6hZiSVVZ74DdMgBjNFL7irfqV9s5sy8
4bVWQ0eZ2GDKxNoKWznx0N4Gs3MEO3jHwJ++Yxq+JK13FAhZdDGeIgJYSxevFIlIV2ak6xtCtXB2
i/5yNFE5Mhd2Fq4JYjTPSJYOsXfOsGVrjly6QHU0VNiMIkQ5fsfakyK4XEtAHmsrhc+M1xyDT+7v
gkrcNj5b1uSvpGWtJcbmBQSreBnn0342IK93ReRRuc+fbP8FetmqMUfVQj+w091LfY6XVdKOnN5J
yJATVEanZ0O1x+m113ECGu7GtTRS9/ToU2jg5SU4AAkpuiq0QKxUqmXunobYvVBNf47un0rN/oKm
/QwgB6KxeeVYWOFaYy+D9IqGQKFibK89rlCAK2yhlSSBZNlFI/xrJ9a/pONMrqHuGwv2HaXjHu5y
UzwkqCbMyoXG38MIrqTRqlPwGfSqW0KsCvxB+qe4TyBlFqTxWMFdNTYXyI7PwiaFN5Jlr0KLHsde
u60sdKnReN2xP+uOds/m+IwNnlRXm5NZU8EEm5Vy0mw5XEzTjS5JJ6mFf+RrOh8SF0UUDAbxFcXn
OjBVBpKcN5VbAmcWxHNhDXASj5Nv6G7nxMWsWJSPVuE8sPdNBLGPT6B5ub8MFM/wjtFlch4z+uwl
4I70GytfQVdWsXkH6Uy70uleeo392oysW5tOVhjHbBJBDath6DC7EwtFQz1aNNqUrLRIEhNDdjLj
CU5uHRdpLmD72BF5t4LTUOdUax9SMJyLxl+3XVEdAk5rF6YsP43tQ1bvLZ65h5w5XamoQ1FIbUAa
E170ScUfN/4+SKlzSrcdce2gFtXlIJayNhIQChEaR636yqSq89Fi1h30nihIpnWXp/V819ulij3o
R68laStIxU0RWKjnUbl9ikVSroUhb3TfJjVg4rxWABD2BxwFXpKs3MLfgmdoVxrkdrqfTXZAJ+au
8z5QMk7roextuqNAZpkxcEsTb0U2AmOOGOXCUqNJE3r+eONVo7MoUTWP0fwCx4GubOitOEtv9EGu
sDHiIB2xXhSOF61ADaABcy9GAXa1ipczvrjYLjaRZ+PU89B9d90+9qxFg6YzG8vLLJabqtdIN9Ja
9PTYFqDvHkRUhBdZOt6lwrnh6hpboh4v2qS5HGt556f+rrFEsQyD4UvriE9lad3nugsbKagJNCBw
rK7nWWnMP9kRAuRyZm6ClPZiCHp/UQzWsEyj7FwfADRi7oWLkOD/6mwGNE61MGtt3Vjp12mu76rE
/VTV8TFrxJeGw8BSz92TQwvSkaVOmR+RLVwP6Cw7RlV6YHzRx+TaM4tzvrya+hvKTpe6d3nfDzwh
Vre0Bw+MLyI/Z9YE5bM/kz1Wr8qOh2ni0XNnPmdk7lsUwQtSfq9hfuylaRxwSZ7BdTpP7YxsJd/F
L0PqEOB6ItjAwYKkcqE2idyYYf92r1pE0FXp18mmk34M10S/KAJfA+8rp52JDBXL5BNMaRqv8502
WcRPjdMzMX/JzQQga9kM+AZaQftoghDghvXzgE4K+Tqz2zIv7mLPoedUPQP+7ig59fyW4eJOK8w7
15T5Mqj4NmDDExuHbZbmHsvGsHfzishUR5Kpwe5QdVj+B+Zteca9huJ7sHFEhGA7G92YUGFmIR0x
B8EqdGSKX/OtEP63Ivp2Qkcq96uKSOZP7V8rIqV4el8R+WDpGCap+uVDDrDA5oZtGb6sqati5PfT
uQp34EecwjnRcxL3342gfPz8nKV9+w9v/j+RfbhK+/fnCIoeD345+He8C4QmYG4/aANFFBYFvTrj
ZAOYSHdQu8xF7dXpMQloeM7tlRfNnwPQFiak8u0Q+p+1OOJwB2faZpLtB+DRY5aYpqtILCubK6cv
ATjqZFAj987HvTW2q1nucLU/lGHIos8qFp6MxA+PiAO8pWNTP7gG8tC05fTmTPNLJnxUvdJOcch7
DwQEA1y1NAjcQ/cwl/luMK1wZdn9ZTx01romKoaf62dzD+iCfseRtgcteTf7VGhYzoGJv8YVwP3Z
fPE0VPGlTAlJMMeb3BtZwkaol5P2uZmFgy0ai7fneMt+9i8KZ5rONJFeO+o5Ggtgc2PAhkD1y7+0
X+1AMq+ZSTjqjZVhEuZDRBrUtECYqzxqOM+U1rOe3tvTZdQ6kOpACNpgfZ3Ej1aB2zUrltBJMDbT
8R+A32a6VlnTgLeCtviTERPuSHoFWEGieSI4IUTSQpaq16Q40YQWBNbqAQRe5KlKS0wUpq6CbS2z
b0gIUnG3kwq+xURGbtOcNVe9isWVFRGDrCtcKpVe0ar43EgF6eYqUjevnftyJmR3YBi0Fip4l+Yz
9FC1xY4qljdQAb2OS1Qv/kyxwAimr4AUMPUg0NdX0b7sr/ExUHG/kATaQxT27nZUYcAoqmW7qlVE
sMZ0aGuk8qup4oPrqKa/oSKFDUf70nd8fYxf6zV0GWBPNTqgWIURC9159TXiiSXxcmucUiYSJbGn
nU5koZ1kl8xp0rXRqohjbYrXPlTirVAByGnf2lsvql9zJgJbOEbMBlRgMqj18MCVY/tQccpeqczZ
ExHL0BG4NjrolsIkXs96y2I2XPIEchXQXE2MTUoAtYtWZUB3ntacDXQyzsKBcGc/wpeppkbbCgTV
mi8PAnprf42ZVS8E+dBQbqytQnrRklHx0YlfUUeR9fKFgIB0QenNrBI6wiLMEarXlejXFEuGxrsk
mjqB+P6FZy48NEg2dgOzlG4dveVZjxbR1iC/muRrBhtr5xmGeVVS8K1Mz23PumBmmGJRUTTEZGSa
EWI0JDmjUBkaJWEaIIzDpT7TRij9oUQAQzgY0RtaWH/OVBZHoFI5onwe171K6kh0MjtcwjsMQjwS
leYx+Th3TJXwgUME3FKFKn+WV7GKALGdLF4yUav3vnReI3JCpB5shpDgkJEEkUFFidhkisCEPGDm
vFcZ4ltAN84yyxu1iPhHLsVekkxS8pxqUunDcu9W9+zLmgyTSoWZFKSauLp4Nkk5od8/0m4bL7sZ
p7xHEkpJIgrtnbv6LSKlo56pSU3pASWSpx1PW4YddD0Kih0vLwg2aNHtRNeh3tgLVwWxyIxIFluf
n8YkUVHn5i4mtSUlvcWzhqM20jCbVLDL6AMLAsVISRMT+yIw4n1JvKJ4dNIu2YVWT99LSJqeFGQH
x2GyJciqoZeYf/FbmzVLlwU2hPqyHLQbZheKNZTGhxCn1WKksbJOp8HjLVHxTXTd6G6yJgXlEF7l
iMAXLY/L1Vtq96wHHLvUi3aVHa0TsoS3Opy264wU2JVnMoxhhSHRI3E4ENl0XithTOs54eAGVy5j
hXGn7SinZB20sYWLJxdrf06ARzX2Vyah8yoV8x5b2knHqJhbyTkIXwVd0E1CHSBIAQUINqlo4w0w
EH2bBXTDBGDJnemM9iqpqNyjbMYzE5tb01Js7YR3G+U8teaAjCcrGL7CyVOcXlYpHZz2dij4pHbT
2yo5LCQM0nC2GtkHiyTnUFuHoLeLHG0Zy5Rc/FvqfCt1KD/+c6lzHfevOKZeXn9S7fCL36sdQ/wm
UDOjnvkuqvmucYXZ6IDUpaLxebm3KcX3UYRAVIN3w3PQngrUrPSTvrd/rN+YTUAIRjlL5vY/HEX4
al71vtaBGeBQ6njYBpD9WM4HuU1kFj0mbgugYVnXlXuu0T6MmAkLvc31lS+S9ORL00rxgga0XHD1
zBsDOJ7LwQTIrMdaeZJlrbE2j9retgvrKNloVoPZFmc5ieA39BiGk0Q1ca7ITc9d2A0HMx/SG2EM
sMbLBCt6NwLfMWOklMILNkbSEITi1l35SKNG9zm4cVJoBkQNfrZNTQM6CoFIX6CrG181K56vzdaJ
5dKHb7soJgPejeeD1HVqWuyJSesiwRoegX/NcxncmtQa17LSsuhGR1sRttDZjHreo3wM0LFYnkfa
q+EWockLSsYT5qI3hNFEKxaYcnpiPNhfNY3hDUhIG1OsaDz1+oXjVMyM7bhO7rRkZiRT96nrgoNV
ihTG9iA27H6qH6GcWXvR5916pgpduXSYm2o6eF1FvmVhRyu9b3z7rK+s5ikggY4CBHcaPQS9ZTmq
ewdVQFxYFvF9bbKf8Oj6q3IW17PR9u7O7G3QfW7y3MHDOVROYM1HG1rA3quZ31/PCRqcqbELeEAR
N+ZwzP1sKrR/x5PfGrsWk7z/vCJ8A5A1xVPzEv8M2Kp++92yYFgKJeZ7EL/fqKzv1gXAm5w9UL4z
JNR5Jr+vC/Zvno5/gwhWogkdV4W3/rkuMO8k+I5am5MVvI9/on3HNPJhYWDupwJdXVLubB1BoPr5
uxGlP9oa8hSyC7SUOb2t7lePMd/eUfdw/3Y7d3XXYKqeNG7zMFW3fDDUbXIHZSNhQ1QPRaGej4Lg
pFFn5+G5wWXNIyS/PU/hWM88XWPWI/Rd1N+ePAu2do16TD2SPPwNz2f39rB6HVHbDYls8Ic1F+DE
HM7JbV4C6mLAlpjLLNWnm8jwgCmbSRJtqiqDRdpl7Q5sMq0oW7qfCqPnoACRqf9U5T6hQJZdEYsj
CETLllqLjCNFQHFppX1Fj7BOHjS7QgzjG3Ba6QsGjMOM0FvQBiPeCDWAhJE65+HSi51g6ZcmaE49
X7LnS6x3bn7hOkV/TfIf5luZgoSM3aLfSS2wGSrWHklvOc5Sv/PLedE30hkXrhfbiJ+MzL2muwYm
cO7yeEeQ9Pycm5pSYYmpLZaTjh6XSA3fThgGCUtCkPB6q9vaDV8IiUtgHx9w4xsGhT5nJpEYMirW
LH2sVqw8/dwjcBqsefZ3aH/436aqCbcu0+OrtumTR7rt7ZXvti40UsdgotiK6Jb0kAvfaqvhkray
dC8LLez1ddjq5FCHQSnrfWQaksovNpOHNGvN29GXGbI1RyInGQo9zna6VXQu4rIqSPakTiXjIXdj
Mbw6gxe+oqxwtxAWgk0WRyWWYR8fcKuRe59rGOhSL27vI8uomlPN8Iw+c/dvLfP7ysXO/+uVaxW/
hj8jJ/KLfyxazm+6Z3B4+OauMRBPvFu0aMAoB51N28QyGTN9X7Ss3+ipKKai+wdU8fuiZf5GM8cC
dwR72ntbBf9B5wYG0YdFSxGQcAZZFmpk3+BM8+OiFfPUtxEMgyN+SQ4yNpD9sFtKx04PeczNay6N
fnbpAsApMeFbFNN8IxnChHSFzy2I0ARcERHcof7X68fEzQzjcjBarDtJP1X1ou0L/5SX3XwILZnF
e0gY5i1Ybs3eG63eaOTgIQLLAys4pJNDzqJJhIFxE7t+hmY3nLP22S9CZzii4mvsK5iL2560nlcA
zfRgipjYMimYZW11tU/7b1t2V0/dXmQmuMF5pqe6DvRJPs7CJVLGrSP9zJR+cNbUdQL7FvzROhr9
etnUTbeW+hSf2d1EdE4wVyiM/cB/ki3wXxrMAT1qVyClSotIXkam/YQF8hEiwXPiwBXBaYie0rFf
qy5/dfzSYKqV1+IFWA90FPgLdTjsi1m3N12qycfBCZ1Fb+qoU4ZUGthkBk6ijMk+GxqzaD8dgucR
UeCutQpzH5Fpdk7yEyM+o2FWVUvkX1VVb7FblcuGWTfiwoKDtkcTgLMYkydGhny51crpECoObQAj
PD/zpF8u7aBxjzAz530qaGLEJh53gZAVgWa+aEIV1zd5ybJsZQEnJF1Vnv9KwJC29fp5lxkQ36iy
tlPABEdr85RhCCjhVoz3IhLBKh3mfsF2uy0NH05BNy67qBkuUmvslnpEM8DPVNoPpsZ1olXmCZdT
ekNolXVdOE7xmuiiOeR1XHwGjMwAJK5fiqlPzv49gb2dwARz71+sWmX29LM6S/3W9yULbhpme4NO
M5nBaMGoY74vWab5G+0xmGoCV6vrqR99X7I81iUf2zmLCSxm4s7+rLPwO1gsLVgPBUsaIWj/qM7y
+Es/HMCUx1BVbToeCvxXbx7Ed3WWIBu1EdKcTl4XNpduQhgnjFT3njAr8zANafowGdCeva7XjwMC
+wU7d7Qy7H7+5PpDdxPpZbZl1Baf8ZAGa1frmnUREx3oISXOlMWnVyIRW8lFuGf5/Z6D6gphC7Lo
shp3pMoeRpOZUttFBBBVVvocwxzcJgXuIQDq1FzIzx7zKAoPZa2gXFqXrEwlZ2k9rwJ5NX3yTfhJ
mfU0BbnLpBQRTEdw21mhhDFNOYzLUYllxkw/pUo+I2MCPXyHILcIbQ1mY9VbI30dMdaM5ooRI7QO
YxBXXZGvmLeFX92keojGMABj0sO1rA4J5j0IIEW6N2efOTQt/cvQCO/1dDrE0moI1CyubJCGa/yH
2rZzwpnBlLQOxKe468zKzgzC0/dxh7aax1hs06wQ6940g51j9N4ixoN3qHMY9EHZX80NqtkqQyyN
vW6mKcTDnjJWNkP/IrFoyvcTV0eTWnQdY6jAdGUYp5b+82pyh2pfR+1BmskjB2yESFlX0Mp1krWB
KzIK67lTgP5orQ2YJjNlnwzwUSZCW0zKWDnisMzfrJbKdImNPDkSH/mqpRgyaxJY8bph0hxg2aa4
NhnvX6G/sBbpOG5NfJ3m2/wX0D1pyLg+cRRelrhA9bB1lxm+0Ap/6KiMohBM1oGyjjrKRJopO2nb
2qDpi/ysxWlqK8sp44gbsoGTRUsLmHASFN9Y+U6I+HcFjtUe52oy+scKJ2ukLK2zMrc6gXM5Bclm
xvWaz3G3cPDB+uDzMDTijJ2qVYVT1rNs8D94Z52AgnHGTZubzReLyfXKx2dLiMK2xHeL44MtAaEF
jhqUIcQ+4B6rUxvMPrZ10ouVYch48w6R3XrukynMU0EL+dzgIA57fMrKAwEuFgOWZjwPwdzs/12M
v7XDfr0YQ9/eNE/Fc9w+/6yMfL8mm7+ZHr57oSs59dsp9o812foNwzejN4fmF9O+d2UkoZSmT6SV
/+dvfS8jaaT5lm57LMr/PKzkYxGJ8FeZ2Wz+4Y+yQ/xYRNqZrntJ0Mynuftce8FCaQDf7VKXf1WR
q7/wZ9PtzePG3wAcKExfee0+lKnI95xqrCyWiFFDr7Cxs5ihyUvf7379Oj9+kr++jmr+vdtbSG6t
MFPbDDIr7KnN+eC+/PoFzB/bh399BYay718hZBBlSg5kJ3N0F724c5lDoD/0NbqG/ZoJ77LtHyoM
KvFlRwiKEb9yLg/DS7NkbcdiXi26+syxQ7zHKJEEZqYbnAyrkQzJX79TdTT55TXnxnr/Ti1sOAhV
1LWw1pzYmSB9lj2zF0OcBpQzxAEicPvqwvWv+VfPiZe/fgNKPf6XN4DOznZoWRLFozJa37+BwgsN
9nB3OlH+kTtp+E12nsI5YFxRibpa+tj84R56hLuMLSmhw7WBDoNDc4l7W9dmjIs1k7iKjqQKgj4M
aFmbbZaT+WkdhkBHL25qiXE3WnmytVKfZI/A6xZFQqq70+wrxr4A4TZGN636btpG86l34nUespDS
viXNY9uQXpKbl4CPiLm5bxGfhe0tTvij1WXkTjirHgyLOYCqtO2lSw7ylFSr1L4lxaRGV8aiTacz
noylBDbo6vl6qHZTfd8mSLE1CwxycWZ04oossGTMtz3UlbvcJj7Fmq116d92gmB4xCqJml/YcSjg
5dTeSvcYr5Rp9tBBs8nzuVn4dtCu0lCc//obUpKEd9+Q8nb88OCLD4/LEPtt0o3tfNK31i7Yz+fd
Z2sL1u/ULozzbsehak14yHLaWMsDRf2mXI0P2j7ddFt96xzjTXL89RtSD8+vlokPvXmRZdLN1S1b
pvsScvywanCObmr9b5ajn92Z75ejDwueF+dzFoEPP2lEjd2OL3W4pJvOxJ6W1q8/kfHjJf62Xrx/
CD52Ffn8jeXH5ikivuASxKREEAQHrqUztQxPdNR//YI/WwFJuKKV6fk0Wt/GH+9WwBy1hetmlnka
MN0W85deu/z1C/xsAXz/Ah+uHYYJGnqhaZ5woyl1xqAt4fn/zaf4uxf5sMr6o+/ME+rdk9+fzfWh
c26x+/76c/xsS3r/OT4sjxN7ddPktnkiYYxCHQWFc+0nGGfHb5/lfxuGc4yfm7Itv3b/R/3l57Ka
mjiMuv/58T/bb/8dvpaKPvPDf6zfJNlX8rWZrl9bmfGr3+Bd6v/8f/3h78Lu26mCZ/P0kscFARld
Ez93JifMD6Jvi6PdL86qlEfHp+71Z6URv/jHcRUkDhYyxOLu28CQH/1RGtEsMxEn2ER64l96PxZw
f6P1b7oeJYtOGfR+XOiqeordxv5fKo0I/vZMm4Oq6ZofhwJ4u2WdO3jw9PKyCcV6QoD77qJc/rU0
4vN9WPMYazhKg4VDC+n7h/sQeQMnRFfKUyuSQ+x+0vSTDzBU7IzgcujJv1j/+vWYmP7NK6p39G6J
UGDYmOa/hMpHVKU3hZ2/mNrSRFcblu3V0JTeoe/w2zspStPWwfiN3qgOxsBGStu5uKcK53Gk0ts7
FoDjCUHGymhL9JtedG6XSK488sarRkc7nH71R+0ejPBlSVQeRh/ExEnYKCkymhPLjPB4ZMTVkf8c
QkN2tu2UxRvIBtYmrOJyG+CoXMaoShdug1aC/hs4SjOm4UTQlIyvvb4/I/IdREHcn2t1wLeUAJEN
ECHXQ7cSE3wfZ7gKYPNgHLZ2ZWlc9khNOY/uC52ME86QZyVyb5zudw1iGGKaHvvZuhzdaNe7c7s2
yEvi1LwVlXfg9D4uIqccoKA2LTik6VhKd75xsXUSDGUzqLihZeDsHOqbBPbtrgYo3l3NbwWPzJux
PGXs4x0SVFI6ZwYtbTeDaLVqEgy8c4dOKTzkcyJJ9mNK19QPQBynF9PsfMakhAyIIQDIU2vTmPEz
kbUvJDnb68EWx7ESB/Tgqz6tzrtgWCOB3xP9dqmj6i+CmvnIdI4X7Vx6Tbnq5lxfhvZw1vb655pj
qxDEzuTFfEeaYLgI8im9iGVxWaQdFBqaf3N60Mm8XYyVg52mQ3BWjx5gmh53jYAmhkP/jt4woSSa
Hm7MvJJ7KYcOpYeJejCup3MCvO0NWIazLH/xteEkIu+6lY2xMOhfQ0tuNgZg2SCLL2Wh3Qw9Qmfy
JBZEgK292F+4effiRvRFDSe5MoHf+jKXSKwNoNWqipquCMRmckLd72AlH5p+g69/hUsbrbu+KssS
96y4zIOa2L8RxUuXpf31OEXXjPn3GCuIX/fusesuR9duAOVq7Nc4kws8E0z1kbGA+ZypEME3gtjt
X3VcxgVI6VoYAExdHww5yH7LIjddGzAch5dR3B+FncCRybejbq8zt1jKMThr23LXYPBu504Roi9g
ca1MEjN0y7mayKsBhK+3C0sEG8x3n0TDOZ8nBGkcVuLCzqZdSubjvsmwpsWAtq1JO6TtfMuQCptj
1l3ETXmT9AjyEnjxMDwAeXjmky+Tp8T1jmWdkfOawLoaSLJHkjZgYwt6b/e2zPxv73rb11Kx09of
d7n/nzc9JY795aYHFG7x1Hx5ap7+umOqX/6+8ZFSypYiVEOVyIq33e2PjU9HJ2PqoFNh0AhGw3/2
ae3fDHo5KIYdRX1jiPRnnxadDMoWFIX0d+nj/rM+7Y+bBNsR2mIMVygi6AjTm/hQiluRoQ3dlIuL
KH+c24txfHh3WX6y7WHp+mEbUq/gmgyvbAsrls+C/qEylkErwFKP8kLO9to0q6+cCi+yAKto033t
GmNFzBb0aoGcDrf+HjvXrqmTtXRhyTqaQ3NssLaFi1K+JaFURhvRVi8aKQEL0z+XNjbFtkuxCkTZ
yegNOwX61tXWKcxbgg5G3EYhF3FpRxhzNxYpmO1i0O09Pv3g62DrxNLkkQMALoZiKuLspTazYJGy
b64FbU6aGKF2n/BcMukRzzIa800Ha2EpwLydGegmF6HhndzK1daZ19wz1bfWaBJA6QkxXCYjRgfL
LLuN0VjInJvirG/ix9Q0z20kMr6fs1iHfb3LinIHom1eNUF9G9gZeU3x0Ytod85EImg6On9DjF8J
GMPNBtqjBeK9YaIGdqG7cTmHanq1t2rsqrq2Kyp56CqdAZKcrsbUOyTzSBOCsAKUrQc4I0+B0eOy
gCoQ+hp+lPipa4N80SrFqu3tsjA5aRg3yBRbRYH50KbhwZfuDrbVuSjgQTdmf8xI0nZAJTRVvSM6
3F2UAtRNPHe7Oc0um4BzXTtHZ12sP1QwL5AuJgehgL0ZOWPmbDG8msmcIjBwGbVjtJZevJ8yuO52
YsP+SJytXkOdKZ30UQp/PeiwxHTAZahL4caHxWGkHeqL/rMorSVhBhdO6zywyZ7SWFxHOV0XGeTM
AftjNDT7EqV1iEsaaD37nz/ssp5gKTO7AfxJrzXJPuMk/WQE7meatJuycQ7ebG+0sXl0REfyQwfL
xWofSj48bdlxq6FcTzN3PbmoywN7ZaXjeTXQmZB1iLhqKvijXkvyqRssQsd95CnYJHHyEAYqfbvt
ko1GKehW9depTHZel6yFVT3KRn/QNIDkLlkgKfLzfvSXup19mdPgCtfQDM47PE+TJt3SYkcxr7m3
EeOCugLKQWGVLPQcUamBTkSrSGHzZtc+emNbHGKiaPEuk5xiOzeJL+5l1YYbENw0xCv19CTDjW5A
lZaVh/p/ADpVjw3pDPb16AHSlyTXnoFwS0kNt9q1n1X9Ah9asB5ako87Ezw5ya/MpGCm14H3Ba9g
v47Q6JaLvnKgIOZNH7TLfNKCScVOxRdjEzvnNWXGyudSLCzIJMtGU5EEWRmtRIS3MgNvte5m7OVF
F6TXJfgDxqdSP2N6u/CiCQYK4PyuG0+VqNp9gRZvYVgIhQ2zbndIDZN1GMtzxwjZhNOq2BqzDQpy
9nFfKeaRyKp12dUlQrQ4O7ko/lKiuNqruecTB0H1bM/Tpyawnty03rG+Mac1AGIYmkaArXYepCak
w8ywF6ljMz3NyvymtJmjLAw3yD7LtLgeevLfcWScROxBfoECkogVYzm5KqvizK1dFkSDN+0OV4W0
wmUF34g16hDWwQ71MZmzybKau3NMANvIjo7EgXxOmx4mpWqTBdm2GNNHkQQ2KuBuSWihQyNKHwnl
jN0v1aCZIGBQajMUH/Lb1MiHTU94hIWLGhIYcZ8k1qTrOY6b4+ylF5ZZ7VK/vTKg5ywzMPJjzmR5
HuABGO7eNAIJ2pyOWzYR1kBoam7mS0l8dAY8RUbraehynzVHHgbdKR8L0ZEjGGtf4VpC2JRNRjaD
MnlXjjiVVsbZgCzTftcnUb8tRD5tWfqjz0HNK5gyuy2Ae+K0gKMipwaReBLCOrDRh6MuRReOfEaU
7q1dl7C+oL3DKsFKuZpEgL0/rW+dYLr1Cnu+n4MiXmYSwpctQ2PhEh7STZ62rXRSfbAflkskCMgj
e1veN3HmbUZvimcFO4vYlZgcir7gKx4gWXh5A+yofHB6QgsHEntdcDZtCZHcPaT1dKdDuuhjmBRl
Fd3JzLz1ZO2fjdPY70staVZlkE2cZpJhUen6A3QBa2WNor6XTkVmRYnnJI240QlhxtMXWPcmIWo3
gWmPG08iCkqQPfzNKfFDA0YguUOKS6nhw9fGmP3xjJjnjCvCpLjoUmJMxnlvc4gamnbz6yrgYzv9
99fh6MuBzuKx/1gEdO6cp4hRLvIsO7aOeceqRKpH/shyiYh08vkCpmzXj9Um89Jda0bnEY4PbIFn
rFTn9EXReKRXUSCvHUafViSXgJYWRRi8ltLhbMojADnnwtFDyrU/6rqfFDA/vULokeEDChu2Pf2R
96doO5dl3PlpcTEw1gunWyW5jcq/6dB+8KqjlVRoQIsjDHBClybEh++hlWk15ansL6oQw5XmiL1F
A5/kqZp9o+8ZYGr9vVZl5VXhcw/6+n7w8AGWE1jYwNKv5iTnHDXLK2YW/k3BriTLniMlkmGiT9nK
zQTOUhlexFp84IDPNTd5bpx8oNmNF/YabsdT2mUAUkm+meEzBK3hrKMsTtdpZz1rSPJs9CpMVmsH
fphvLMsaL0sEsIStiNImcvb1bL5ie3niZLWQNtbH0c2OJCEhM3EnbacbQ3LUIxju84j1m6lBTCgV
jRYjDj8F0shv68Fm/zDCczsn56Z1qm7nGMOaAIllzfyetrybrivdPIEcKFbjzBEWfNp5oD9JsZG2
u2ddfPA0nMPuYOymREDwaiLMQ7hZKoCvlqavZkHpMfKY4dAkfHzU8l3T5Tanx/HABOIpjc3omZ7F
VnfqfOVm0dEsmQhYbb0hWcWH/jZe546TQaHhTOvM41nttn/THzd+ej/wQKKfULM/WlM/3nWBpZUF
P+su6IA9WX6br+aqzy4cRvsL1tPHsKUlW7TR0nDGlRe/2fSzI1cF2w4JkTszbI/gdRf44I526d1b
oog2LXmfGyl1sacfKjHVk6faE6a11kuR71AXVavBiFWOj0Y9wkJE6hZNGZsMjhxUCik4JbuBJHgN
xVhR1Rsnn2l2Ok++6q32RukSj2PeOeZE7QxVzuqMFU4XxguETQM1cO6x2+2HwHwhITpdVAPLgJ/t
nGK8DXy4c32zrEvrBpMgdwj+m8m8sfv+mCbRTR3b17kLKmjq7v8ve+exHDeybdEvQge8mcKUJYte
JDVBSBQJ700C+Pq3QHW3KLYuFR1v2lMpWIWqAjJPnrP32naW6S51oxyYDZk3cTMG9O9Gz17dWRqB
ujKNIx9z2ReJe8KrHe1R0aQHJYZY3fSMZGILvPAiwTieqkDR260sp3unHAOVVFx2I1/PetmzbXG0
8OALZWRMkq+wnP5WW3Wi9rTv0Ppie3lq0LKXlhng6T/PhtLPIM6Cgj2zSnMj4BjGFtlnCQQj1Umu
slrK9mDgg4oMWzMHYVuvAhEz4lzCwzhKzpVo+hfomiFGqxWfhBW5HzLPhAytovdDDHRmdto20ZhL
2UpUBHq0eAAxazcb0J1hKc8UcV9VsF2k5JJ0IzeKSRDJpGPBLh6LCJNY/jjW3aaJ3NLZ6zT0FHbN
PBRkBxE71AJ/G6QmJedH2qbCPi4g/SwHkbFQIuF18IjdBS5aCrQZX/ZlaCu7qOyxwjVn5Ypr6vtc
Io5oHZDl1kGPxLF+TVlezXZ40RRPEOYQ17S/Ok4JuQl2pgjora2pfZemEVhEvAv7BI/QnDeVvgut
8Z4mDRYt+dw02haujn6WxoJApDAMj4M6Wl4HBsSzsMvB38AjTd2wI4m184kr3LUjVYhV4cG3EAuP
Yav8Zmtbn8Q3s6zXlfvNk/o6e3vbZY2dGUdfNtBFpafYnReo+6ZxVYxfZO25wonl4/3o3ezsH+/3
bidVY7SdZcHKUFXPoJjH6RrOeRk9AGz6+I3W3vo/Ptmag0KuCzIuOC4/r0GiA4dMPtgE5nmOgjoh
nCcJ1RUPUe3jipllNo3Huk4wi8B5OceHYbhmWqHmTAFNCV7X6xTpBYPu1VRqtjtqwycpqS7I1rzJ
Kd849Xh9p95MEfk/ZR9t4EF8LlP9Xorz+joasjEw4rjfFsZwNFLZpbAIZngUHiXeFm6ndY+s4qYm
W4tOymHQoCRoKmLUeW/UzoXIomPLtm2RNZWpJQ+ThBHV9qZauS/qNkjycA/7hHTlyXZ7o/iyyLPh
5SJ6bAi/vlejlSvaadFvvtWf+y3fN/q3X+q7sVpm6iUAGXs62dPnePk627+J/Pjd67/bOGQpp0aO
svmU2DcA2PEe3P3mtvj4rjDf3X8MHjM5U6P5ZKiXsLRcviY5nn8zTn03tHu9yXGoI7dWMIMx/fn5
1pusTsTA0OeTo3pq/9SLgprkLpms3/warwkoP57e1/YXOfWGwlaL9YTK9Oc3mtMEd+FSqyfKmCc2
Nf8234Q+zAc38e7d0r3fE9909vU68eJPU/CFPJivPNHdTtt//K2+0p9/XMj3++LNMvI+qsUZE6d2
IpaRfjP6sicH082wLa7ijRM4Xk7TfMv3vFE8pIRuHACSxflwKp8+vgpj7fa9v4q3d+e7eSxc0dxW
IaifHqa9Glhuv3EuLZeRlRv723vDOzP9Yuuc4s20K2+M3S0C8+20Y91zl20F/8andeY7vnQ27Mpt
dxHTuHcj/xPCyBMs5K2xd/bVUezau2Jz8/Glv592/XnL/Fit3lXQktoleS0l3Jdu5dab7rne1LeK
D9zED/3YT4JyUxyq7eXTWTDsDY8De3oA93dIT/hHvTAwM/db6H36+KpetS8ffKHm2hx9szskSTW2
lslVxXvHjb1lV2zD25LRCtEALi5el1BdN9/ap2anfqaRFnz8/uvt+8+3//EcvVttWGqkuavn6SQv
VWAJcVyk7DQOcvWbTWldVT56n3erjg2eZhwXgn6pqd1RPMnTToA7hNcgoz2vNx9/ql+vcX9/qveH
Salg8TeadDjhfOTkd11HV/+/N3h35tMmkjRMkpJPmXFUU/qAzu+mwb/5Yd6H9EhFbZcWCXenqj4h
zd/U6sMCVOn/9zHeLW6dknfpaKX9aVp/FRi0zvTvw5MQNP5YqK13N9iAx34ou2I+iXHyEhK0MxiF
xeXHn+M3d5f1blUyw0iaac6xG0ympztlkOX9hUbUojV3XirU0xglv/nqfvn7GDht8ARpa874z88t
0noNvn4/nPTipU2B6RPaaG4//li/vI3fvMe7hyaPnE5qYn06GalO//6qKH7TVfjdG7xbEpesmLS0
asaTzKJNMzrT8t98Ta/740cP/rqhvFnf4oShT5hzH3M2cDEXHcYdiGR3QUfmxUF0MbjFd0fIdwnL
5ffXfgsqhkj78Vqzfuo3b4l/EECHGrNHPdAYJofWO494b1d8Uc6W/eheLl7Nf7hGUHhwla8k97oP
1l398rG51A6c2kEHBHPv7kov3v7u8n65kb95Isz3d07SCpkcYsDuF+tGLrm4sPV9qXhuttX9+9I9
yO58fJG/cjhr7+ajcMVvVi91XZ4++lHe/e7g9c24cWZqCX/0F39eXNV0nWPuXxMGdAao1X9UN6Fb
0rHdtNt6a3vSb1bo313CK4nozY8kTYOkl6LuT9Kxciefzmb6zdgovnUcnqddHRRn1lbaSi/Ro+ZN
2+wi8tPnj5+ud6LHvyrtH7vEu/skG7VC70puTVihGwLX3GSt6vaZd0v68X5PNq+7nMhquSei3i82
9da6hLzoD0G8Jzb1c+795nrWwvgfv8qPx914VwrYksNsqGRJaQJ9a25NuMKbZbOcJUfFfYr2cDM8
e1/vaOqdTZ51F6By5Sfqt9nmJvHXIuHP4uC/0f06R/+7xfuP9Da87IzuvfzXg3v+9K/BPQYrFcka
tvP1V1txpG8Va0zNQVTAvyDebXWr/2Wwsv7A+m6umn39lQLG8/+XmN/8AxeppjLuR+KBJvFfhbj9
YrBuy9gJZKDdhsG7rRfxdiG0lEjJ89aoLlSb2QqYQUygYp4JPmb6qE6RQqst2+TavC+LEhu6U8aP
hWMdijHZ2E6/rXLoOTibU0O6WKQwkJnBEG5sVWd5YlUXqGI+zbL+YDs1OLpuBUhLfTDO2e33LOie
nmoW0YWsUutqijTiftslrWXm4CbxuLYh5ECZ5BPpX6MP3XfcxmGMl8dAT1TKPan1CoO4lAmkEpH0
a5O6HFYJAFCj2g2mKHwp1E8TKFKiwAH1ALWjgzX1kz+O8t2o9D6WskCo9Hl6R6dHJkPhMVrjyeRz
enXB6zYOWFPIOFAyJ4ESvkyfHCDgwRxWTIeLeI0Xi/fIhcJ9XiPqkYspqEpsQzLjqaNhSOIsTLCU
Agykf9Cmd/guM1fKe45hjMjBaHvGShMSi77pzeG2TRrGU1lzZ1rRRd0ogpaFONMnuI9aEw4k9pSD
X0q0EoUuN56zQrmzZjiv65SYu7nKN0wet/hnDwR3firSEaHqquAXaMcXGtqWRjDMnCXfRkU7j8rl
tKjF6A2WrkHFaR/yNQphqNaUrfpsiG1iDmQV8XE2eNKCqbPK0P93Vaq5dZ+SL6CahDSYV1k405oT
nfDVJQoavbA3QqqeGhU4rCp3J1WDDdZI20ouSDdLLlAUHjWN4TvL67EZuWfCobtsErN37YyvRh7n
IdBXjUIZeV06bJtGO7eMGDm5U0leM6YV5lhapbW0bVMJrXTVnS8Ymvn1SBEabPNaNdVzh2FH0M6U
lXqh0z8lP4nR6JK4ud4jqs5kskBFGHQo+SeS0TZjWp5Hevh5bsZ5k0v2Nuo00zd6+ZPe4HjWGuYM
JNTOTW/SMI+uIqGcKRN99Wg6NZ3zrTVF7Rdjx3fYmfuoSRR3MY2zfuguEnrY0lVVWfnyPE95trOK
VQ5SfwJiRnDSQiga8UXnJUOcQ9o7j1UmX/dG+82uZ+zK+OuWaIOU0q87cXB6adPK6rHK41NSVYcp
7U5llV+OJaNvOvuwxMNB7M3QeFlMaUBEKTR9mwz0QSFLjcuNai7nUYMoUWFCuYlWoaLQTN5X39Z5
uxWrlBFVAqQw7bI1HrtV6lgMzl2JyI4Z6rFVW3STvbEXqCOjerkkm2MXjokg8XC4YrGjUd/7qmow
gkyoq0O0llrXnwH7IPrI7o8VakxLsVZW/80C/hY4FILNeJVuqi3ZVXphlUT6KGgXV4mnRt3MTCna
Nav8U12FoNUqCZUG7pyyVmBerILRglODjYLU0suXCkVpsUpLdTSmCwZ2QyG+cVrlp8YqRJXb0HIx
Tn5lKhqeYZs7J8ibZUKWLwk04mGwGuUCHNWzRs5iIC/ieeiYhRTmdA2DD51MOX5G9rFpdPlhTqxz
KMMbRiyMexG7erbe6UCwovsSxAMuaeR39rwdQxK/6/bSSfKjbGL5WxWIRhOeUosxVmJmu4qgxoMl
GXf2EPq8M1N6R79VZENldA+2d2GEFdRTOgWNpJ5PPAaXVuVcoyXdTbkOSzana2wR463WKcVKpcH3
sXoEQVYCELXTPSdpvsQNJNt+pp1NslUARuMlcp6S2rrueu064zthH1BIpSxzhI/2JXEHGzkGLByO
zEzqcAVWLwIn+5hu4wbRTpLmiIJ70gF5OdsGq2oY0SE3olOc4i9HuTEedUkpA37QeWcw+5pK+q1F
HftRlYC6t4n2mVASIDeN9lM1eaEEzEI7xrAUmJhYn+VuwYtZEJE+6QZOqGkjxc2NmkCXXubWi2Jz
CCZSBVwn6p6Y6ifASrRta1hwQ5qG0p5ZJaqxm8GYzmA3pZDpm+1AKqOR1SdREa5UK+Ii6qdrea4C
pubzBvjLsWqcnYS2DX3MPGzEoD5nzjAhccJFGlswfHNAQa9lxH/1lM4B47f1FKyCX+gg+cs35ZQB
bsXA/kgF9GpK/1sHqQKFt0wc6Sv/C0nk23IKhfZrMU+NszZIfyqnaODCMsS0TnUESf4vJ8Sfx0hM
FP/zWMlE8qf6nFcCPAbjwzSp6az1Un4up5xQYhKH7/uinJIKFJjZonMjzCKfyvuk1SB1p62CPZh8
iTwD1bsY/b4xlJeRjdGtikIcBIAOmFYoKXp52EVVFDCYQhvWIpmvSoZ5K2MvtdKvImwnoDuI3caS
bIi8H0ucvIZNq2x2LlEq3hmt3bqN0GZu8+WMRtFdFPWglJP7MNVu2YbLC0sJJa+aqDIGAOeBPCnJ
ocgR0OhwMTPHuWI3ntyJO1+R2mETqTwMJU8FBo1jWk/zRp7KQOqmawoVwjt5kHKpIXuPJ1Vvtsb6
qI08c4XV3sTrQ0jK3nm3PpZRr20z2YmByXdP8/rownodA2t9nDWe6yhpbkiC2ICRNuCtkUbXtsl+
ZC1QlNjyxCRo2KyQyoVTz+vaMUE9XVeTiSmmn7drRspyHb6uOOvaY62rUJ4s8DhZmAjnPDjrSpWy
ZC0sXem6hiXrasaStBXr+tasK520rnmE1RMGvGibgeVQW9dFptJoiFgpe5bMlKWz6r6pLKQWLzes
K2uyrrGx0n2Jh1In7IT1V2chTtcVWVvXZnz9LnAmzH/rum2ygNss5Lgfq8umUM6bdY2X19U+Wdd9
HCzqFiLarb7uCdno+DabBHngzoFaiCgA9g+TjURedxSSajchW0xX9ZeCLafPoSiyBVXrXqQYyb2z
7k7luk+F647lsHUtbGFzMz+obGmUCJ/1dY8rtPGaYgYdPdsf7zwFExviuO6MpNRobqPMqFPZNUO2
T2fdR0et/aqsOyuaXHWfrN6PWCqsoLFgMQVz2RGCsCCtwivSpmN9ikbJOtSrk2R6NZVYrwYTrcZz
aZg2xY8tDqOhuXZobVpwDCv7aDY0UmvC9tHRCSNDJokVpOYtGNzXAymqgobeYPAV21G4lYp4udPq
SnF1dRbEf1k3dmMee2V+zuOGbK/MuM7DODqayxgsxXhSY+ErxIAFTNmWVR3xLV1qZ99X1jfMcoTb
2UsH8Mvp/ErprhD+8RW35yGGDN8CwneoLIpapu9EHutBBHqOO9weXCjf/MVEyjKzopnRd/iS1+El
ArYBeHgvX4zxQCztgK8wXPJjA0EiWGSz2UUDmkskl1ZYHkSqwq5CTJuCSIVE0PdnsS4hP8a6+yzL
YXZbyXqNLNUm403JY4TF/+1O30kq9Bw/2J3iL13/5Rc7E3/1ZmfSFAd4B1Wt7FgmTey/dyaNIHdO
2ZApZdrcb+BPuvIHyG42pXV7wqMm84J/HvQhequUw38q91dJ17/ZmYx3nSx2Jl1nc2SbMw2QS7bD
9vj2oK+ub17nTU6iukXKgo4CR9HFp9EySZdupIs6xixFmXWe5erEOk2k8Qw21gac6I+TjUIuOQeb
f4vrhbBKBesx3FpC9SJWblvb2flAxkAYQLDdCY5UBUnn2D0Ln4H7Y2f04KUFJ0Q02t1EBWql53M/
PBOxGghHC3oJ2fGs1Cx7+hPkv200OwlyqYrEhaQYdmnd7lrHIdszIkfU2Cwqsc2oslxIL2cmTmkL
95tQEfTNrZ7g3la/5JADVFl+iOXR2FhhOHg14v1tizbNg9SF3NPsDsaEDtwO62OvSjtHS4MsTm/C
kVCriVN3MNbTVamsXGe73gizkHcFF3fULBVNrC14MEuldFnfLhwt/walut7ORAO6ScRRQ5rD2zav
eMyHyZdLIbGYpOeZPlV+AnYJyHOde3FtYRafqhmtjh2ABj3ERl/6kcjvOPxJsJFKyuPqKibC1y1h
0SjIil00XedOqd42nPRo2VxheZOCYZFmdy7EVl7sF0UCayup5dUU08chuvgxTZVrxnisSyESK7DE
hTeb2u1SJI9Z2fgiZz1PbFxbWpKc0Sc6po380nWLuUP4rxO8OMwBUHLEcqF2RRTPfZxy/RGpupAG
AfGZtU7HpSKlvtT0oOiG5yrN9gh0fBGRAJsgIJ57hf5IwvvIePjn0CmpaOIHks+up5bw+MquUQpr
wzaKmMk1ZT+7PbpCX0DrRTPYO5wZMn1bVMNFVdn3hhLyu3e0KpSpQbRePypDckbW4VmbOMlewlPh
GSYbo66iaHO6WfUKSevdtK+3oVadAH2dIQmzKFk6nA1dcpLT6rFJm2TT5KjahqT1J9IuTMGFIgpi
up+Pu0aRL1W182pDrHwu2GLRsO/K+m6Qxm3VledxVW10c3JQGyUkvnWjQ5iC4ISbo2C25fGBTNPn
blQ9KZ22Iqln8NxN7pbmKgHmU83WZdWI3suc8cbO8k0vHxp6zON5SA7nLDtYEMoLxSgv1RF9t7Fc
SIPp+OM8bokH4tw60P6o4oVGDA09k/qGGzQJPVMCwN/gCqxKXhTxT+0hhS/oIuFLK+TxJc6mzJ8K
DTn5ag7Tsu7rlJq+qGz4QtOA+LghRWhwnK1SGvtYwcWwhDpnMhXnoGuXDoYGaaJcnbTQQ6klNo5k
c36vVU5tcX+owizdFKNOjHKP0DLOvlXa+NAsw9NiiRQ5G4rLSBOX80AjC+bY6M09CaIsRyPOm6FU
CXWN8v7I2rMi92vOnVPTqECz+71R4qfbaAOa/jtS7m17G+utsh106DmoykoY2BYpnIE9RJMS2KWk
E1Y3YmbaEcE9Y83QCHg7SWUxDzeOXCj9jXBaSTsO04DUwCjz+AHavzpeZH29qyKKvzrFyFjpmU66
qRG5DYRvpY2uu1Abib2dDrpeDptWaqetLZlHw5oSn/arjs7dfCLBtcMXaRKqk+oPmUR6QDyOOA7k
xTxoFTdzVtpQNnRA+7NRfa5D/UuctuSB2ph00Ny/9E5MZyBeo1BKobqyPCKN7HExzdl0PtedPyUO
A8daOtfL9koKh2NhV5/pz7wsWBXFNIMooq1K68bIvU6bDjF6J1mQimvVX5KsIt0oxNujAgCnCU01
1+PsUNNT2DlnUjo/5rH6sigyrxIZL9lYfIJd6UvLQZ0nslCMFvh8e52tLWQ5JiFp8qf8mMfWuZzl
WDWm6gt6mX2saa03SYxjm2QpXW7Gk2mtGUyGw0lEkq5orKu+sIwFP+pwjrQK8+4UenwL9c4q6Yl1
ldxvNX1kbSejEIWhFSz0i9wylG77zF+M6F5tIQPauBv8WOJMZWeO4M0hHa1hNtqCBHkhZdLXRBIh
GcRxW0y1CADzn9V2j3bcHhFsK9ZFIspzOhFkNJLi7ZQQaYqO2qz/YjpiDsA93cycfKggOZ2FDhuI
kQ534UB6wSDKe7rkh1TKuMZheUDOj/9sMHXuAULnwKxJXlv1z53j3LFAb+Qa9EkR9/CztB2z17tm
TLZSQvIw3pk957nL0a6vHaP6mrDRuRxsT7rcHxGeh4SB6+E2XJTWM+R2H0kjW0IvIpd4kNSNs2zv
GDMiuoh0eFtttp2RCC/RO/xOwyUewk2p9p/GQtnVGcnbgNe4AQd9CjK5GANZsYFNZSFDt4j/tTiq
+GaG7UKSlK1JT27f84V6ICYv5LpLXdvqD0PJUbAx6Wl10x3+NDnAqnQOEtHcSMkSbaF6HXPSJ71Z
UFtDXs6PkaJemgrx7FJXNxCs5GK/qKQ6INUEjk8P3EstENF6chkPKQ74CgtSyTiARY4FzhC7pVB5
JAz7UgWViMKVmCqzmp4gxdyj+CA/0XpCv/00mfKm7givyKIHAPmm38P7Cov6Qa7snaa3NwL/MUpg
T1PnzJPz+Ki24ssa5D1Y6rOTQbkckqtFscgb6uWbUl8Xcckg/aiN/2sKfceurmynD8ru5Ln9pTGW
v/q77JbJDwQV7QBpfw8wJOaWlORXrwgoqXX09td8zfkDQrRtMXnDHqMZDi/413yNaEFHgeKwmkxU
fZ3KvWsAfdgQeoVV/RjYrmU3UbpYVugH4ZCFmPVz2b1ocRGrVSJfaDZehrBY0sBUPlfRN8Dti8Fg
pjXLs8QeV3i8o56Jmn9vCakzlfJiaOoNZrjrfBg+U4l5xH9M2y6LH8rW2ELLu9ZKm5Bzhh6d9aiY
Oja8CW66lR17w+qoaPCNq9FAvFx5Cz6pcQdHzr2mYewlJ/Uj+HTWWvVoENVQKM2XBXqhki4Pqi41
XjH1lKK0bKfU8rIl2XWwLdy0XB7IQN+JOEtwr/Yr+OAxLcq7xa7OnLR5wHRckKCpvkisegDlPuEX
w8A4GJvWkTaLtVwmDjUmn2xbO+ngUVoxSOlNVwvZ8axQ7PuECYHEIhURxWI1DDq6kaC4wv7UCA4m
dT9b+2XIFFeE+jGVc0JPhbQjcow2DaLY3SDN20pHeaiMrqjNa1EP13NftHe5MX/Ja7oyJqGhUSzf
y4VxtFc2cy1P51FWG66IcOAaabnrR7JMp2E46nq3hxxJ4npoHGblW0ciRxQOdzOTSRwswPY4B+CX
xdORM6HKLf1Zs2jBOIZy90rqFjKR6xL2/L6LIpDSo0mTbd6l3bzFGxDUY3I2dHxnUZTrviDr3Wyh
TPRje+oncsqD0EqrbW8woTn2VYKnQa/lfl/ZTDp7i9B3Re3T1G0quaVue83/6bo1CygfG8FkzlB7
1ug1LWh6TQ4q1ArnT67Tead1z7ZJVODQ0JQheKhcE4iYl6q+Rv4g/XLyiTQh+2LpnjC0MjvImpe1
90npzgxsTTey1pyjyMBtttSEKGrWSYpVAtbVmteQqTWl+CGf9MdyzU0ap/GGBg25RGumkt4Y31JC
ligZnpceuMBI/FJkEqmkEciEYpyxZqce2zWrCUijFujGSBjlmuPkZDs9bh/tzOg3mqTngUHo09wz
aqh1M10zPL7BjoB/kIuJO4dzQ7nmRslrglQeSafoMR/9kmipckq/6aRNGaROqQwaaZMezRK4Z1Vf
jRpnU2riu1rHuGCSXJVTQMP9pbUpm/fhSic2+Bcbr0S0NFcJ6VezLnVnonssDaMjGFCqjsDfl8Tn
pSZXtjJfAvBB34aSXIpxR7YTMZaCXzyNm2synKN9FsfHxSxPS1sfprJ+If+i9XJ95DDbzFn79F87
53s7h777R/tKlyVzNfyiocPf/b2zKESqYWtknACJEPrZTw0dsIyAvr/vHus84c+dRQdQJONUkukD
MKJ4pTH8aOg4q8rDdqjbVy2I9W92FsLV2Tl+3lmYf7CFrfQGk0t519DBSIvhrzWry6mVKdxGXRCe
pKNH0sUutqhwx5k08UEW7D2aIR/lvKBZYSZWtidWvXpIirA7Z5zCPEvTmpuUgnRnTEN3EllYf6v7
1fieszzFuTXTFVdmwldhsTCcoLlw2bVFf9GkuOMk2YRMgMHUxkWoACktw/KURbVDdlp8zajbuIgU
RTqoUSy2C+Txu96eDR5BZgJCNYbzvoutPb4ngPbWIGUbxSDNHBMeoBetU59xQ+cPhpyXu8joeJTr
sPsykhcTxLKdBFbriK2VkpUyxGN9JWjc5kPSM9OOan8Uik6at1Tq41PVRbF+VMpwmfHuVtmAkbsf
pGc9ctL4FBM01rDId2V7YcW0IaxImeKbOHU4PYgBa+9CcWuJk02cmOnKkc5gggAsYVtQ4UZc0r7B
6TQ5mlJJGwZU+fw1HdWmCFThgCoPp0dTrAhgyTIqLGNmuWFoyZYymPNNL6rly6rPQQejJjI+KPaV
JFKcbViP0VfupMSTy2X5Enbx8mwm00MrNZsySg6SxWygUDgrC6Otd1ItMCfbyjBvM9zJlNL9fJZV
U42EwcmY4xSVlFNoRAk2vl5D3DIWNGyy5l63EkY3jnKnUfjvaqmZ3VgWo2vYLfbJtDNvbDyX+17q
nbtabswTFHXZZzdxZIbFRnUbdjLkljF3vkqWkA5a3ltuPRUXkNolv+3HaTtKzIkCkTdN709hUkOT
rLo9zOaSuDy74/y5mJ8j6ml/caz0bqJdcGalenqOwDV9hKpQeWKx5rMuW6rHZZikIzdv5GkWATpA
osIHeynEXZm2TGCqCehTMtWX8UhqZ4mBOfdLXceD13W6QnyXE/c0Io3Oj1pOHl5UGibhMJT12IDJ
fztYk9CumN7Z5EdVpvJcV/WyaVbUjsOZwe0FNqX/1uLXtdigE/6/1+LH4esvGuvr37xZh1lSWeIA
334XvP1orCt/kPNCOBQ1/ruRr8P/ONTdlqy+j4Kx/3AU4mXh6IBFQPj2rxR0mrxW8D+twxZ1DdW1
bhE8w37Bpb9trOd928toFuSLPq0e6GmSdZhp0lGFgkH+tFLD2RaI0UrdOU0ZBI+KISWWNf3QVgZ9
xZJ2T6I7xlnbMtPR7QzMhDC3oxhucnuqz9tF8upRJtbXflIgaPmkQwEFRx6ykOzqkPCaWGjroDtt
hxVKWjpz4VlCvxPkwupJXN42UTR4UV0/kSGC8Ka+axW9RmFD184kXzZfg2arjshZMhJ30xpCGy1V
XF7Jmr0lk1u/lDTzGNIFDXohh14hJMxNymrjzhvI1f0Xa4iewsIWG3VmahURBbGnHQhEtpKuEZDk
lw7TQJQzqOCwUsNlmS3LDxNT9yKJrmoZEnc56W3QOtq3LjGvYqM52T2Zj3WcPSSqdttXTu1Lqfpc
Z8YEnza6axl2JxDKB9qayH6UXdg432Q5KymlYvgT9O1lVg5TfSzK6Jguzq3ClNY1lr7ieCXf1lZK
hjk/Qh/XvUfEHJENPRkPQwcJyOoeWPORuWE1paNAD1SXL+1cVwDZJFeJAylLKrDOH+YZoMxMmSZT
rsmUbfaSHMe1jtPS7pq2bOtOhsyW3BadZ1H2pWaOkbTOybViOYbPxqZTOipzZocgnowRcFsESdnZ
F45az9scNp47mukeOJyDiqV9VptRdklMjK4kAn7dJTHI8h2zUzOrLzkAcJPzJORzdDfOKY/ho9N/
yRjPYonHnphtypwY7SirLmK0jTQ17AtkegxnTNbxaK5gA6ED7JTqMLTqiUUPCBkqPaIqmMArA4pH
xcDSO43EmCrDZ7OOP2UZ0sB2wFyvxqW/qAgiO+KGSOFLK9fu4PBzalHC6mvBNHYgNuCgl9KVYtcv
egz4Ip62A3Q4r8zM1pP7lgglkr1rszhMvYEzWbuYleyCBJ81SoLutVyl97II74xC6nbk2QP+kay7
to+glyjqWVirkA9sWDBNU6RUP/J1MfcHWSTbJkuvkyQKzCF/BAT0FeR/BZyN8dbcjSe7zQYf+R5R
9XJ5bth8uYYuHYgTRWctrxJQZ844NFhnDOWfbNhDftfP97WmUmgp2MS6BX1GT8rkCurIiM2kFyef
RC6+xnzXganVoVeaSeNWav2glfW5U3WBaVeblCoHRkX41MtiY7WcsqVcNJDlqgpm/QD5I2u82QEr
U87Gt14Y56LhIFzY6VkTtqqX1AWseVWFo9B9tlMiFTmPK9nySYFCw/UhMlklFMI5b1fZFRfsR8so
QCRk2G0nSsRFvu4c7fPcO/UFhU0OQlGaDlI2S/uqEK1fUgWOGXoMyqW4zq5tszQQxyLyJFop7Pah
xassbWzsCksPgE8NfqpJ+b4o1KtUVkvXpoIFvtCRDVBZmYcpir6inY9ozKyLlM4/l1flPspeqArR
dEVIqeyGhvzE9PFPs9F/Aivjw17aJ3isw6+aaeuf/bXVKja75tqlIqYL19Lb6GkAdHAJwaQaRLIR
1fimmab/4cgKtBFE7LR3XjVZfzXTtD/YYlWTHXKlrK7/9S+aaat26qeNdk2xRutES08xiER6J1Wf
ZOK02rYcTgv9WHpLa4OLkWXxvRD7nyIuALD/fCMUYbquUFuoqqyvF/LGd6IgpWrMVK9P8mA4dzDa
CJQtyD9edgjPDPRJfTno+64Llxv0jUxETUW/T20reqyrFEA5w+ujQuY6ocmtMV3Gs3atzdVIt3yO
yNQds7TTPo9TY9poR5pxRA0C5WHUyXg1MymHxpxDck3qulKDSuQDih4pAvmVdGH5kGSzE/wfe+e1
20iWpetXKcx9COHNxQwwdLKkXKok5U2AMhne+3j6822ZLBlmdldRwPAArbloTCkVJDe3WftfvzGI
cZBnVXpvxHq3svQ8PiWLkX6skkcxlgdur01jMEUpFv51VtBl2qncCl+7Ng5PS2F1l+R4DPjOmabI
jwZmeGnhLSjiv1kYyaWY5RnCNU+lqwqfjGBkECwnobeXHLrDUGBVlgQYNimzeCh++CTeYlq6UvDl
a7T2MhamEh1c91sr4n4iFMlLycpLKNKGeRQHJGA4CbSrkb2a5oH2Qw8rSDyuTyJeXaDraYm4C2IJ
p79O2Ks7qyqFWT6qdjvzglHdr1PralCkGwwAihmuFxDL6tpTwRXxiGVauFy7gFvnUC94BPRVhdPl
qtRrrZ+ZdupfVPCOMAdUSvBNmSijGHGtpWOxh8VXU850qaQrC32sIE/pyJcUZfWmxn0hDr7Vn6ks
so9zWbBBMLynbMTXEMXI2ylWDCVVGd66q2qerDl0lEt8YSc056f1QXpAowOAbs4FfE5czcQ40hfa
HIL19F9aZ3/SwSFchwzimIYhw3+0PxSvuPF0jVf52cpVvSNCrvtphG0Yrio6vS8rcuZF69LDVU34
3q4tLz2rdI8UviMzKiAQWMgpXaJuOA+/133mLCqVo7Ku84Vrj98tA0Ol0KVCc8f+uogpwNSyGKZW
hXKgx8IFYh0NTcPv53BJ9juFrpQ7TgtSTsHGnYNRo+HDwYanEnVYDToZOBQeSXoQwkjI6NFwWOfz
rvNOVBhodE2h/7U5zPQkRNDRFquud7T9wsN+BBOGK486nG7QsultWUTs7csRE81yCtrRcnj5+6/4
/SbyohwjxIL9kguI5nzYRJyRi3+euOVKbkkcYCNAXVOSDCYF/tzIQKv14l+5TG2WDb55zQ/fptSD
qbREtq4KT7sl+AsI28tmY2Ud6EmDmatLkWeiabGAfo24Qiyhp8PJiO8ashzjJAvsGzkA64Dz94NM
9gXJBRgXmeeyO94bXvE96TD2KQis/E9A10t/i/X267vvZb0GeI7XTbUBieQvX49lVd4TcS94Kvy8
y/6klgFSCq6zDlVMBAQCAr72uEjiwpRCJTwQOhLW5/zq9VjG9VyDDSbMwkwOVbhqf+NYJo/w42aG
hgwhG4cf92kiYcQm8+a8lGxJi8o+zk4b2EDjMlRzI1wpuhyq87pO4jMrKNp6msTGysiLM0RF9zpY
4LxUk2+tgrAqUZKTQi1vcX0+iqv0IuBsqSU1m2ihu7QNY5n3EMFSq9v3tNYj5iE6AZy6HsP00Qmq
fpK1atVNIzM7NzzylxNcw33cthpMrGaqji1kXIdLsD5sJ22sA7U2Ve4IA5n0befFxMm3tnIoW1oZ
HKmRWXv7kSJB/ZRbx2QryTWiy10J8txEOPZZ5JnvF5ZzZMb4EH7T3Bpmr5t0YTNzHBDGkzIMqtuw
c+FttVqiLtqmDcdp3YTHVpWa4RRrlQqCAW5WM6eyS7i7qdWO86L05GKegDh7SJL6u4aExkkXp9dW
bjSE6nXk8TnobANznbtkMlpdQZ1sx91Ca7IlkWTFVK1q5Bl+MC9GFroPrS5z2ytVdv+UyvGwtqSL
Fv5C2naHcGZnrVSf9J1BaILJ/p2b0zJWIYgF65y2BdEaEreZZomnEliolB/YPq6SpaNctI10aCrq
HJvwle3lP1StJH20O1CC+giK3IHnFieeg0ef2q+arLyTh+rC8eMDNTSvoDTNfMPifPNOTR80jjPh
Ms7pI6XBLM7l/c6oLsoaOkZP88rUrxOLG59jrx27wruxa6Z2oqmEYfxIlWyux+ZK65o5DCX81sep
ggTMDaozJ6pvy2qEa2HPckmZY2S3GrPk1EYpByd8leKXX/Xq9dhly1YNJ3oiLu46lB4oS76/Ct1s
VWnO8agZi6auj0Ij3M9N+btqhAt6lctcq++8DF9Q8dV7FpTIUpkGibJvm/0JPl+16LOuGpVE7CJc
laZ6XsA8rkfpyvC1w5guFKakGaleyWGFAxa+FxPHLR4hZXNljK/hRF5lsn9R+9LCzY0TTbcXapNA
Tmvhcw3KSaf3d+Rf11MnVWZRqpy47XgE83Na+vWJZykwK/rjrvcPswpdgD2Uj6WlYvDUX5RD5Exc
rzXOsS3fD8zOX5muTjqkmpyWMf5lSRSTohOoGSGyon8wMfriVEbB1ilMqcbRD2POhmkhZG45ercB
3RvNRRjM2omFHq4Xwrie7l4bx9ZMQzNXhwPTDxFdnrv7vZDVSZr7HWrashOCOztpvhF+OdckzZpE
QpSHUV4wUZ6EekKyJ/mwmvJWSueqryxdXb/QhcAP33uIfEL0B5Z7FqICrPQEPxtkgYBGEvIfK1wU
vbKs0Q6isJsaaAllyIJzZgfflopnmiMUh7jyT1M0iKoQI/pDheN8cIpt3YmGWlGBA5qYxSoXMsau
SO5zIWxURwkLdgrSUIgeaV6fG7F9mAk5ZCmEkamQSFLx1DD8mmkm5JOqbyDCQ1GJRyx8RTSWQOc3
tRBdDkJ+KSXjCmxk2aPLNIVAU7Ip93IsQ/vAR9wWthcmas7aMY8kA/81qYkXBJOD4ATdEuEx3VMh
Bk2ELNQRAlFVSEUhFxaLsBlOMiEjNbXgNIqKq9ZszCnRnN8802C+Y4GdokFt7ejUFaJUhCO4KqNT
dYRg1RHSVV2IWEchZ/UNM5o+HXn/uY+L++lvzn52jsdyw7nPX/089znc6SCq2svZTgn55tx3oCZi
myJ8V1Wb+8PruQ+BRRFtRnRIL2lvP899e88CaZFlmew4UVGof+fc58b08dzH0A1rYWznkZ8QufKh
xG1V2GKF5AynnFrVAtewdF6hrovwCLHdAm5F2Bu0mAxJIjQAxKsD04Z0sQ+6Bsgt4O7Al42TXkDg
ZJwjpwaQpXcqT+NBqxaqws2P+IzsoG+L/FzVqVwx0saGcPCM/Qq03RHwkAROlKLC5DIxnicBluGu
AJMkrC4nGvjSKICmVEBOXg74FGQdNBfbgymLPGWaglEB18eHbUKsQ0JqiSyALElAWhDqqkOFziQb
tIC8ArAv7lCPHVhYBiaWC3CslE3pMBSAmefEMXnkgGhyY35XVfXCEfCaC85G2dRBQ25mlYDgXLA4
UAds1QDneq89l0HrEoB5GDTHASgeeRL7oYD1grFTpylIn26IXi7Y35jbD6MAAwcBC9pqezwIoJDE
kmIqNThR+Ga/cEATIwErGuCLLjijJRVL1Ps3YcCJYAkoMhCgZGcMd2OgriDO8P9AKgx8L4YnoRX2
WaXZMGmkJh2oKXg9l3YgqAuafG7NZQ42YPULmearCvewURzM6cfH0aYla1jtcdqDk1ilZdNwY5NM
m0p0HHC9LW1cHR2P3bhT9eu8iZeNBKej0PN526vGrBoeXawwVRVYXnU9kbr8o7G4xViRkc5qfURV
J9cxclui2Erwbsss5AO071Dkx7VdVMTooSYgbzWjpNFBiCBWH7bQGsMwO2/kRIZ/QW6pHSO/LcgW
TNj2tRRk2jzvO++6TnNnUifVsVfWMUUSvEcbkiNINpIlXJlxDBhG+cCK02CeJXiaZcLjLyicP0ls
P4sSr5gWFe2SzoZnU+BJCHdnTU6sN63bbG31UF6JNQQ7kdzxwK3Bfbo6wo/W06k11UaeyMqYQzsn
eM6rvUvLtZhTiMYO1CRZ1mR2TptUHOL9KKExs+Bp6/pxLHXnpuLfphgOTdI+sedGZZ4kpnpg2jZ7
u+ec9mlVEZ+qojbwqXY9Opn4RXMD7FycbOL+NOulQ1ioJRyl6L4Jm+sw0e7ygfgBHf0CiM4jF5BV
qXqkRnf2qu0MeU4cHwE7VdqeOEN1puXaQyjIMlXuH2g0wLuQlpeaXgZpHE4TY7yNi1qeVJxgC9sI
w0UueLi1i+N+VhDT4tMfCaPHcASBGlR3f2zozJJmYhI3LSBiL7jMfA8/BC+I51IeXadddq2U/kBh
rq9LOfyemk3C1w+Mk2duLuTPyyaz/wxL6Rj79iPbSWTYV8bc9PMjNzNCiPIN+kQFA0dHuq2LASZB
dkIPJp50VoWBi2fd1COlQuRpzkGbW86sSghf7BB2TorK0U/VKLOlWQF7/OE/x+JzO5ij6tfHIvYW
aVAPn89FgZD9PBdJpuYYU+DRCF7nW5ha1fbMt+fly6GIzorgLMfCf1uFPubY4HGvl2Fnj/9O4Cin
Kepdmsx/51AEKP94KAJGwfGhquN/eCsC+Xt7GU6T3iyKKjlLFdI7lpXaQPIcmoCDb6INnepAh29h
NMZWfg/94vuYjf5+L6WXOqnvE826G1pS6vPGOyiB0oo8SOn8kv3b6NZKrhV2+bCJ8YYnpsDNuE8Z
3uAv1Nwk3yj3VpLkRtO29WuQtOy0GuoHSeQVG073oHOxm/sEATcOucSZHRz3uvCkdsKlxLW8lDNj
lvnauPJrs53VqBDRJJUPtAdpmTblXQurBv/1YV9W7TupVxZ+VysTq/cOLKtepZhvTCKc5ydG0d12
tnQV10M8DSPlUjPqGw/27r5j46ihaJp56kHPmiMy4qpkROUca9g1RLlsH8YqWy1Z3AEhiJlgVMNw
J1MCjrUP2bpX5aNENh71OtnXIGNXenCMrDMi80Ga9tC1SYzgXzsHiVzeNNC5sx5xSyoI3hC9nfBO
6zBggPsN1f6+VKvTcgyuDbjhEUHjM3ISoYsb5pnEm4WL3h0kfiAhFyL4cZQab4FrymUVaKsml1bj
ExFdDlQKeMjpRmEnhyEuyBNDUNdhfZ5JRoeOs3JJ65RQLCM8OQ59xHahIL8XXrz0i0ae2/DizQp2
VFfQBIYxb2coQWQnOc0xSEfPURCxmafqPjR+IAAo92VATkc+xPZ+ZPnlLBTUfLN1+7kh6PoYq0DN
H9SD0uv+dGH0xzD7Tbkhky7tpgSCFfslmqaeNJ+Jhx5AJcl70guJgN6N7KSoBhKJs7tUJXefwtSd
dll7LKMx8IXYoK/Lu1AqL8zWOOtQI3ghsgRTDfd1dApJrR84Cikx0Whe1WGBJsv7ExHyI20WCRIx
iI4hZA+tEEDYKCHSsECfo7IZW/k1AR6cUFV3JQn5BH9Kh0BIKjShrZCwA9dUE5sfhSZ1RcJVkOVL
fXBOI50wlnrowasRbTRgOvNe6DgsrPZZK6WN5jpQpy5yj66mLxxpZb+u3TycoZXGY0PoQ7QovG7w
co+DK4TdMTMQJQlrjTAftCV2bdX7aUUuudFBsuoV1Z1qmXw8YEBNL5tEtjDQZiOCFdTbJFikBdgD
YpYgpaSFsm1OgyelC5IXF+lL1MOcYq5d6tqRNPyIZNHxRS6TWdVcE/oZ37foXGQEoVg/ZCGyyS39
RznKtw7qG7mLV/kw4OCCLIdAMH9uDr5guRYXflOtY31MCJk9tLPxSG8cskKeZD49Dik27h+lPfxQ
q/K7JzXHXVafY3a6rNswWhCIM4OSsNQcvHIUIScit0edhIJk0AixUVnXP3IpSaCYd8LOwFoHRfmd
pGgO9AyppypkS31nm0d1I9RFhmRjA6XfsOsWoBYlVtson2rUsLTLcFZnQz6uhDzKq5pm4Y/tUS2k
UyoaKtPv16EQVeVCXlUXVUx5xM200vE2TQhR80nWqP3+sjaKRqTcz+Me0XaB6f48TY2SRZexJGxz
GZcBwrLeXWWxJsybXTzRJO/SdckOyZ1Lx9UPtH6wpybitUkzxBdujiSd2OaFV9vxTdlVAY7iRAUC
sSKZFAvbCK8tExGh2XbRgm0VDovq3/UppMBGDxZtlx6xoV8MeoZUEC+oGQfAObRMdRIYxqxFCbzv
y2iN2krTJ4YJcc5Oj3wXLkxUxCeV354HgPITlb6IS1QAruMlCJYX87dte2mYoX0wps0dDkxImPLS
nXAJ86dmWEiwdqQfjg7Hs/bLYB+i4nk6ZHemxtouYsum/ralKYl9mLa7Y7qSCwfzwKy4UexEiKrQ
TSVDD/2aDOOJT6DALGPPNvJUJnRIrhdxnd01TnBNsLw+Bd9cDLVH44qvnFKIKrrTyESoexL9oMEy
pm1gHiKipdjXMTnwcdfSMpogjd5e+UN03nEmTuvQzhgYxEIEWnjk5gxMN/pOsyYUAiJBP82lsZtF
0AAJSc642lnd1JM7xK2ReWWQ1Fymw4ORGWehlz/2eNlQLIY3SOMBbGBJYj6TntDnLVbIyKB1wHa1
rJQUCeWwjvMS9wC1mUeCDkvSXXxYjcWVprLw41S7lgb9tA7qh66IF44bXnHYy8eBiVaU8/+wCrxT
gO1vzhgdaBLFouW3vQD2GnQB3YGLaYGVDmRPCWJuR4TfTLWs+6DPpFlSElpdCEbhkNkXipsUc0PY
7KckbM3znOClNm7cQ7kc1iYOiHyfrbqIIvtbn6KLtV3pKPC8dUnohRfRXOvDfD8rMv7eys+yCHYS
rExvTuzSfU6jDAwzuNXlgFSCwjzjavpnppswS+P+YPS0H6HcWeyxSgPhn5gLuyfjwbRAqWqTm7yc
DUy/kIuCEgwYgY/KrQlbBq+0YE7Ll7uAxK5NhxvvRQuU05TCtZyqywi197QO3BCrrvw4ECxMvS73
h1Enc0UTlbccHYRejd+rTaaZLMj7hQoLKxP8TUTxD75HtkJhe+UCozJ5miVtO8vkAQMytIKDZF4n
NlxXz3ONaVJI3/yyu0Ihjr1C4ExpmqOqUHAKarj+eFwv6AP4l7VpFXNArsPGa4iRkp0rRJpnXtw5
U8ypgPpyqQHbZD1pbb3oPSme4Rh2KFE5sSBDedqp1V3uJcgQOM8ZLY4QEhtN3OSFprdD9yHl5g9T
lr5J2ETMrER4dTjRD0u4bGADc98O5bHDST4ZLOO+aq39wqbdnHrKkZtqKQZ3EKt6M7r2EghjZGep
UxuwLpSShefeybZ3QmGgT2xdyiZKEx7lBsgzUUDhSg2yQ7co+Z0d3XoSvlu0JL4pJbq4vJEurMQx
J2qSHepOd91Tc01Mf8S8JM/SeVGTGYVtFw5fUcHH0XGUsbuSVPFMP7bxt7DtAUmOVYAMdN0PU7VQ
dXZ4gSByX8htc5O3LF2/VM5jLxUYqrbUzKCep0ZYTnAzu0RLilU2iBTlZc8+XaZL2H7pojT1I8Wu
78MEww7aB9dFzxWQaK6rMQ6O+iH+hhIpmXUVW6ol3+ENzeTvUg2unNXNsrg5yatykcpY79NkAM8l
rY5ZGz461MZ+a8If7NPHMSmPRoc8L48miKpCoAix1oFgnLdogSqqPCti6/MLZqbvdBaOhgFvsrH2
5b78YfqUdFbW32oJNV8bAh3H4Q1dkUOCI2Z+lK7RLd2FdXOq68VREhBW4hE74WLJA9eRe2xhXfS+
Mu8Ngn/cIrvsK+cA1Q06TK6NcnhGlMh0CABwBw25iRvPg7I9Ifn1sAnyaQx5UD2qQmWYFp6lRudx
Opo3QxaYeH1LRst/MOq8nQ3CJsvIpecYgP9Aswa90N/cQRtsPR83XEH5q9crqGLtwd2VuUvC3SAy
mFvgKzT7xJTSZKIAoFXIT2ZTr9CsuUdBJC6bgmzxbATyegs19qBhkGkFKquTV6D/LabUZ2iWF0Z8
IvMeAJC5jX6AZmnCyUWKUcJqjLHD7IPmOzx3GBIRtHy5jWdDGQv/hGA6ZO4yAJSbGUpXTcu0PSPy
8tDCyIoaTvUmDnk3lRQco7VdDtbYQV8MLiHaPrQUiVMpazlWJFJh3U5dZiOlrCub3jSphAOWfN1B
6Vcr/cYpPJqMvqMv3FimcJHGRaxL0rzofIRmJZxYTyonQR7+adjp93zIrlqfq1VWAxu6pvlnWdSH
KRZatSNdu+lw7JsWopZg2Ub+CbK471UGDSxwrLNSM+5jx7PnCR8Ma6XA3EfHhl9zdpsMBJ/poYZf
SS0IZHF3YDvd1aCS4+HV3ULXidhVQ41okC6I0SDaD4XfGjNs3E+qOv7WccWd2p4xNyL7IgucBwCg
M3R5A1GHXEFkL6znbodCJG9vICLfA+7duoV6WmXpPXAGwbpR6c2btLMOKis5QyBzANZL6pz3PVYJ
Osxjm+gkMwJ7yrP7TnGQSQ/1LBlKkt5oT5FKlzgLWukkVirWSV2Rwqm7pLYguQnyklqiW8hlBwzt
HHiqcTGM7Y9ADx+tpPymwQ53tfEm8cZkJgsZC1+SI8PF7jqL9pTMZU2FkHZuEj7jO/0PupTZjK43
hp2uPG3KsJoksnqte8aFXg8ums3om+6pPxrVbA+HQPy5QR0PT/cmkZqDKvPB6g2T2oPYRrepw31U
b7fkeUdgFQ0mS4YMmgq2WSi1MZF1VHFjtJAtQsAQAuwXtU8mapQjj8v51nAgJAERIjYlNq5To70w
g4pE7YrSgurpSMTCzUracROjGy8scre6lN4tR9lUH11x0cXWVa57tDFjRSxRw4wzkKlM7ZFJPFR8
h4mae/OuHC8zr+RVU5sTt124cnM52tpR0GHoYqkxlgOF6828OKQ92kT3ddbf2ABaoND5naxkJUa2
7rTsgP07OSDYu8RdTfIP5FQKZ5JFYLQsZ+RPyfuKHDTTSpacA3r7w0Rr7cckLE64ubYTxPM5ZPj6
0PSGYaY2cN05VK7IDSW0GyIWszGhnVffVY3DTblUTGLrMOEEeVKP9TQi1czQHO8wVh1fm0VRd63a
BD7OS6nygz8ZBrc+VWuLXGwzMLSF6SZy+s3ifpPN9DqHx+yUsUgFsxPrDFAqMM+GIvDPtKL3bkkV
nFcxU2ii+7q7yisy9bCtndpILWVak77leJd+IXMdcYz+XI6lI/xNA23eW61Gopsdj7PeNqvisLFk
l6tD0NfBFCe9OAH71zAfjjFJNftinzaEehN1shwsIa037DOxj7ubad3LXtOE8D2GEgkqBmfOOIet
ZBRzUCPL+ybXVlzdqm7rcUJrMNI5aBPT/R4Zga8vZbVMpEns9E3+/00n8+VEFy7V85QryXDePJbD
xWPFd/ZTri5+e5Zxkf+W/bN/9MoR2vygPyAY88rfhvzxv/9r/YB54Cyo6jK4r8Wx+fS7w4f//q9n
XpT88QB+emNP7/q3z4nXvEbzwCto8JHpjOoI7Ik85wfSUZyheXv+tUQLdM8whH5TfQac34zRr0bh
9x/weTh//29+++Y/DQLQ8Lsq5J8Mgio7KhYsFBTih2F9PwhCjmpjIiY4zLzW7g2CCIPYehCAbHE5
wVzhV4NAZaXg9wAf8v9+EN6uBoMa8R98fr7lvxaCtacyz9EaO88fn+n+bg5Qj4IFwpkHT3/62YVB
+LQniFX8D0ZCTPi3QwH90MbrVXv+pHBy3w2Fqu6pcCUtwYX8v58In8ZALOKtxwAJh4OtifKrfZHp
AOXbgq/xvP3s3pagP387z4KNn4fN3zocTHp6UGew832eCJ8OB/ZFPF7Qle7ElrBpJjyfWtsMgr0n
SL58Tr7o98tAZgoImQ9UGvGzqwekCEza8myw9144zly6xY/2cSjUPcREiHfFIO3mlsBb3noQIIqp
SLReBoHp9nE+cKmijtB3djVsXyVAhwcIcTTN+uWWACneBodks9jJmSDMxreeCWjxkOkJPOj9FFDY
EnQL9fqubgZCVbDlpwd+A1oz4PM8TwEKjneDII5GG4N4+6Uo3b2jUX5eoFucCjBhLKE5U8ViED+f
aiSdwCJdo0Z6PoZ3cBC+4liwIA4Z6kudKErPdzMBxQ3bBGoWQ7Bld/eEVLa/Qpp72EFTFOtcRZ5+
PgyFuD7wO67Rz8O+g/Nh+4sDYAIUZsVRWV/vJ4K6B40L86WXlsHufXpBMNtyX2TFo+DS5F8djUwB
ikVFNl/24B0chO2LJNHQUdGw67+4Rj+J8FRFgdO3o/WBsvXlEc95GlDwKj+vA32P0oCuFiL+l11i
J2skZftrEzcC+CkGkNLT1v/pyqAYewZFhIGT/k6fDfrWa4LpAEqAjgQ/iKefTxcHInfogtLJ3NWL
g7p9zWzuIb19crDYPB8AmulkMUw7iyopz5XcFlWjRuqkrHJGcnl4Xf/vzkmcQyiqTbjYu3p70rYu
nTWL3VEQxO2XPfBT1QgvXZUxKBEK6d3cHrfeEzRjT0NERtvlefcT4NH7meA8XbQRpe1qvfjyxrZZ
DhRE8JwomV76Lgzru0FgT4BmroPB7urGKGzqtisbOR10UGaSZJ73xU8HJRUTGdbIFEV89W4uh+1v
kjoe4ypBEa/Xp49IMxsjEb8AsTSoxM+uwiuf1Kr/pBnJokcPivj06efjUIiDErYUFfbOLoqvwJiA
WrktWi87w8ftkUVBQiBws0ha3s1Fsf11mruU8Lw3cObcPBPUPShz7Auia7+Tg6Btf1BSMhlMdybD
8yB8qhZQd8uqzHVrV5eDuvWFkpKJqc5iIF3sdft7d1ACLaBht7B0g7AofnZ0PujbD4UuikMx53+N
PsNr14Tr3E4PxQufZrvySRH3COSYm2cFKk6uGiZCzV2tHF7A8W0GwdrTZEJsSf57/ro/HZfUV6ij
KBz016Wzk1ulUObyxrYYCgE7cV3gwHiZ+Xzr73YJeBuiZ8XK2NXy6QUU3GYQOA6cJ8L2yyBwKrwf
BNAYPAN1R3k+m3YPhRXhNtvNBFh9DkJtGjMvm+SnmSAzEwS1XiQr7+RyEFaPWw4CVwboOT83hk8t
OoHHw17BwHxXj8tPnu//6DbB9ZKezK+wR/idMPpsgLcdnQna9jMB1J3GDG71L9TGjzgDMhR6FsTN
7upEeAGGt9gXNVYDHoXYIP0CjxekPlAGEfW1oxNBBP5uuSVoNCVoR5NEs7lYYCLgAAmdbWcBBvV5
im43E9jzxDC8tOg+rgaBugn1FN4bzz87Oh+EWmzr+YALt4FVxnMB/RmFpbqE7kXTfld3Bm37poRN
ewqyK+ZZz1/3p2JBlFTi/8Crxc+uFo8vtcw2S+OJxmgZNC4/VI1sDAodPI6QFxhiR9fECwiyzRiI
sonNQbTqXr/u9wU0pF/M68lg31XARXu+7m4zCEBv3KN0Ycn39LNhj1Qd2D6O8wxQ7uqaeBGsbDEU
gummibSAVzUAO+HH+WDClCerbWcryO0LB4PiCC8YLk2/WBQ0aThEkEnt7EGxfeHwhEISz/S6B346
KCgh8dDkqNjV5WBsfbUGZIGxYtKt+gX+KOpo0Eckc89bx64Oxct3tMXOACotOnLoH34FvSl7T2bm
xs7K5vTtdwaL7iyu5ob5K9kc1TSu7hDmn19r9/CmT+nR/wRlgOGrwWp7rhA39bD5JbA9ZYP42dVF
8cnR4u8PBURgjRwfNFGbT4onFqhYFsbfOC7/jUnzU6A89YP44UmaHDxWmxTMv/oHr+Dz59+/ER4/
SS3f/UshVX5+8b+ky//zXrn8JJh989tXAe3TK738/ctH/Pzi717s9XO9/scDss3X5T0RZ0/S6Jc3
ulonaJv/N+Z/HtZvhaJCNi2u/q//bbPM+uel8vdPxzPy8fVBbzTZHDF/fdTPGu5/7+HJ+iErXx/0
5uEsnK0fPhGe2a/PefNsbpJbP3u6jtctX0n1+qw3z2e+b/98/IiqT18pmwog4Rc8PK3L9R/TrKo3
vQRQ+dYvMXuM/1hl5cbx5zq19fPn8R+zrGTyvD7rzfhTrm39/EX5WKWbHs7htvXD9+PHNH19zps3
/hXL9aBJ7rL4of78eMH33vqtHyb5Yxms49dH/fXuBZV6+8djMfj6mDeP/ooVe/xYbhhz0Rzb+l0f
B6m3YSMQaputn32yjjbsYUJx9gWPrqrHTWPyFQv0JKv++N/Ue4wfN43MVyzR5fqBDfh1HN7Mlq9Y
oss1ztIbnv0VS1Q8O8827e6CQbP117p8TB+y+2DT7iW4GF/w/PL+8eH1QX+Nu+A4bP/wjPf++pw3
z/6KZbrMNo7JV6xSHk08x+Ow4Z1/xUpdrfMNE100y7Ye8NVju/5cOxqyYD1v/fDTcs0W8PqgN1/n
VyzRs3h9vykSRSBTW7/zs7hJNhV3grOw9cMvAkrHKnjYMDKi17P18y/X9yVXgrTecJaKPsoXvED6
x+QRo7JNL/AVS/VyLV6gTNflw8aNTPTKv+RTzIJHb9OH+IpVKz7EghVwH1T3m17jK5aveI2jbF00
m04r0R/4klE6aYLqj9O7oMo3fY6vWMzicyzX9eOm53/Feub59fqPybq8W2+qGQRf8ytGiteY4ga6
YbMWMORXvULZjK8P+2tPFTY427+Av954JxTiwO0fDoaxcWi+ZDEHVUQKRPP6Pt8MzJes5Sxeb6oe
RG9w+4GhMEk2zZkvWb//KjX0Nz58/xaGc/m7aLJtH/7t0V9vGhrR4Nh63H+fHrP1W/+dL/D2Dwcg
SjbhcgJu3Xpkfh//vu2bv83iDfu88KvZ+o3fNncbFpLgF/6LR2+CZX8aIH4Ga1/dHTf92XssWvyL
+/hxXf7P/wMAAP//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00000000-8193-40A1-9B3F-5B192CEF4483}">
          <cx:tx>
            <cx:txData>
              <cx:f>_xlchart.v5.6</cx:f>
              <cx:v>Sum of Amount</cx:v>
            </cx:txData>
          </cx:tx>
          <cx:spPr>
            <a:solidFill>
              <a:srgbClr val="92D050"/>
            </a:solidFill>
            <a:ln w="0" cmpd="thickThin">
              <a:solidFill>
                <a:schemeClr val="accent1">
                  <a:shade val="15000"/>
                  <a:alpha val="87000"/>
                </a:schemeClr>
              </a:solidFill>
              <a:bevel/>
            </a:ln>
            <a:effectLst>
              <a:glow rad="127000">
                <a:srgbClr val="00B0F0">
                  <a:alpha val="0"/>
                </a:srgbClr>
              </a:glow>
              <a:softEdge rad="12700"/>
            </a:effectLst>
          </cx:spPr>
          <cx:dataId val="0"/>
          <cx:layoutPr>
            <cx:geography cultureLanguage="en-US" cultureRegion="IN" attribution="Powered by Bing">
              <cx:geoCache provider="{E9337A44-BEBE-4D9F-B70C-5C5E7DAFC167}">
                <cx:binary>3H1Zc9s4Fu5fSeX50k0AJJap6alqUqsXeU3SzgtLsRWC+wLuv/4e2k7aouQMXRXVvSOl0902eaBD
fsDZcfDvh+ZfD+FmnX9oojBW/3po/vwoiyL91x9/qAe5idbqJPIe8kQl34uThyT6I/n+3XvY/PGY
r2svdv/AOjL+eJDrvNg0H//zbxjN3STnycO68JL4utzk7c1GlWGhfnFt76UP68fIiyeeKnLvoUB/
frTXofc9yWNv/XH7Gv7z4/k62HywkzIu2o8fNnHhFe1dm27+/Lg1CP744Y/hd+3w9SEE1ovyEYiJ
ONENgpguiP70gQHCJHZfLmsI4xOBTEQ5oz++drWOgHIsP0/crB8f841S8FBP/x1Qbz0BvIW//svT
P/RvoX/rLgDw58dPsVdsHj/cFutioz5+8FTy9Jry1k76R/x0+/RO/tjG7T//HvwC3tLgN6+gHb7S
/3ZpG73/giygvq42+VodAF5+ggTFCDP2Brz6CeW6wMQYwPsupvZjvDvECKB3iY4M7dt1/OE0WWel
Fx8Ab3YiTGYa2MDPeJPhckYnWGDDEMJ8ugFtL+p3Mrcf932DjEB+H9mRYf9XCKLzcX0Q3LlucMwp
EU8fNsQdn2CGDUZBvj8rj2cp/g6O9oM9HGAE0EOSIwO5n8ezfB0/eOoh+fG2f4eqZieM6zrjnD9j
LHYxhmWPTE7gymuQtzgaM/n2Q71/mBGA7yc8Mtj/ClMvPoSFxk+oICZFJgjt/sMHsCNxwuBjmszY
hn08R/vxHtCPAHpAcWQIg4EZeypcl4cw1NgJNXQGOL9lh6MTXccGIQzw31rc7+JqP9J7nmwE2nuo
jgzxv6L1Y5KPkZjv9Lr4CQFdrGMOS3bb3dJhMWMM3pjYZ5+NZ2g/0AP6ESAPKP4HAP41i1uP3Dtm
4Gw+L6c9Kvq9zjQ7waZBqUDP4OlgXW+hC6KaIoYZMtCzLP/x3c/GGPg+P93/t3naj+xr2q1nfH7E
X7+U/zmX+dZTgdcm5e9fmgY6YQRsKPzDkt5jZVEQ06ZOwbfaEsTv4Gk/hjtPtQfIrV9BWGiH5siQ
XkbpJvfW4e9HmuATJjA3Ify131dG5gngbJoIJHX/GfjK7+FsP947I2yBuz8QtkNzZHhbZVEcwooW
JyaCKJf+lhWN0YkJshshPIB5NEP7Md4mHwHwNsGRoXu3kevoAPEPQz+BVUp1E78o1j1SG9BHAPBz
YGwA8ni+9qM8oB8B84DiyHC+WOeHCm8yAwKc+kuYa+gLQ7bCJIhT1nvJr5XzaIb247tNPgLebYIj
Q/dskx8idm2eEPYkoZ/V7T7rWUdcIIIhuvka3LH87Md2i3oEtFv3HxmydhKW6gDyGdKMuM8yQRTr
2dbak2bUdU6oMMxtbMdztB/dAf0IfAcUR4bwap0eAl8OaSXIL4D19IzvTt4J8g9cgPnFBwmIsfzs
R3eLegS2W/cfGbJ2AknxHltVHAbhXvgKCEA+hy72qF5EDG4yNFC97+VrP9J7RxmB+F66I0P+Klw/
bA4TpuSCCWTwl3jWzqqGoDTr/Wf8PCcGeafxfO3HfEA/Au0BxZHhfJ6oD3/F7ibcHCIDYZyA+4QJ
N8z9CxyBjIf8g8GgWqj/DFyodzK3H/F9g4yAfR/ZkWE/2YQfVgmUoP3+QFgf8jQNSDv08r3/7BQP
GGC9GQSKBwbK+11M7Ud8d4gReO8SHRna0/DDJMkh+fT70Sb8hGFBTfziQoudUAmkoEQv9M29Yc93
sbYf890hRmC+S3RkmN8m4To+DODYBDgZe0ktg+DeykpB0EQ3BDf1YQ3geI724zygHwHygOLYEF7H
YJpb6/zb+slQL39zLa9xAvU/ffDrjSBon34UHMKg4Gc/fbZdbSjTeR97b6C+d5gx4O8lPL458MHa
QMXyIVY6PeEmrHVMXky4HdGOTgwd6xTi4DvQv4OrN3EfjjEO9CHVkSE+g8r3g8h12meqIUGJ3l7u
jJvwBw1iauM52o/0gH4EygOKI0P4Eqo93QMY5oSAJQaam9O3Sv8YLHgoFaJDZ2w8R/sRHtCPQHhA
cWQIz8NNfIiUB2SlsW4igUEeD20yJDiCgsCByzWak/3AbpOPwHWb4MhgvdjEj8mDdxDpLE5Qv2oZ
e4mI71jdBJxqRgnp3e3X2ax3MbUf5d0hRiC9S3RkaC/K6FsSPha/36eG8gPGwaoydtexcYIoIjps
zdhncr+Hpf1Q74wwAukdmiMD+tmRsfOy+/1QE3oiGBSS6OjFh9qTB4G6XtioIXZt7D4xM5Kr/Wjv
ebIReO+hOjLEl3F7IH9Kx6Ch2Yv9NfSnICQOtjelsCVnW4aP5Wc/ylvUI/Dduv/IkP0MqrE8ULQE
cyg50N9KaEK0BOrwkU71AbjvYGk/vsMBRkA8JDkylC8SsMN+v7CGzIYhdGGKH8J6x8zWT2CzLNSE
okEx92iG9iO8TT4C322CI0P3DLooHCJjSU+gFAyqTn5kLHfEM8Q74RoUpQxM7NEM7Ud3m3wEutsE
R4buRXIQ/wmyzbClkdMfm12HSclePIOdJaB1xbbuHcvPfmy3qEdAu3X/kSF7vlZqc4CwB7hLBmxn
5eKlSYG+U1cCXSngsgG5jG1sx3O0H90B/Qh8BxRHhvBqU60fD1EtBouTYgbW1Uu95w7CUDmEoNjT
GHpJ4znaj/CAfgTCA4ojQ/hi/QitZX6/adX7wRQSTRiK8X+UA21HMPUT2CJncNjquL2Gx3O0H+EB
/QiEBxTHhvAmf4D2R/Zvbw3FTohOBf2pgnciHSDGORJQD2b8mAHbccyxfL2B8/ZzjcF5m+LYcIY9
NWlykOp8BkAasJL5i0IexqrB1hLUYByDsbWncKDf7DKWszewHo4wBu0hzbHhDfXcm3zTHmBl0xPK
aF8P9NIVbI92piY1KBm2CwJrdzRPbyA9HGEM0kOaI0P6KiyhCeEBcIZlSyiDUr+XCoGhD4X1EzCy
IT5CBhUC4znaj/KAfgTGA4ojQ/jGgwZ/yns8TJGA4LpJyMuuud1tc6DHof0fBEEGhti7mNqP8+4Q
I6DeJToytO9K2EYXHaQZFPT341gY0MDvTaubcIwQx4OA5nt42o/1zggjoN6hOTKkb9cPObT0iw9S
zcdPTAatvwzoz/n02ZHefXS7/wObZvvPYEPG+3jbj/meMUagvofq6HCPoWoxj9f542GqR6BsAHJT
iJOXmu2hhYag1RBsp4TdWdvONaR638nYW8DvHWcU+Hspj20C9G1KDrHlDsqGCMbQsffFZNtxutEJ
7cv5dwJnt6M5egPxbfoxSG9THBvCkNY4RKsS2H9jEEFht/Rbzhf0JULgfYFLPljbozl6A+Ft+jEI
b1McG8IgKyfexj1E5cgThsyE/lKDwk4Q3IgSDpL9pUZ/gPF7eHoD5p0hxiC9Q3RkYN+V4To/hPsF
SWii912F3rDIn8pIoEAImTsW+ViO9uM8eKIRIA8ojgzh3vQ5Lz314fKbp9JDLGoTelhgCmkrqO57
MbiHKQ/oQaVDD7E9Vtk7WduP+VvPOAL8t0iPcBZcwEEQh8D/KUzOGETL3nDIoMkJ5lD2bey4YvGH
0Uy9jfz2ECMx3yY6PrT7mloQpPDvQyTAoN0B9OJ9qUEZ6nLoGdgLdshiD8KnsNbew9abiO8MMg7z
HbJjQ12uD9LjBupSoIk6WGfkrdNS8AmYbjoHLTAw20Zz9AbW2/RjYN6mODaEvU1+kCUNG66oDhFS
/hwy21d5BBdhEzVsh39R8a9z2rej+XoD5236MThvUxwZznfQJhIOsvr9srvfkQPFodAq8mWbxk7w
FM61gnZksBV+oKvfwdJ+jIcDjAB5SHJkKN8n4SHMMTgYg8HODEBx4GODXoYLDMHOq20xPZaR/cBu
UY9Adev+Y4O0/HYIi6vfNIlgRztU9T59dtpEQpdmOImOg5IeIDuSnzeQfU09BtnX9/+/QPbtk+p+
HvY3WRfr6dMxga8Oq/v11aeXA2cbDkhfdqfuOR/h597k5eOfH2GfKzF1ExbjzxMI+4G29rb2S+IH
cNs0GzDp/vwI5w0CwhBL6csGoR2V0QdN6s3LJQz9TWC7tN4fncHgfz9+iKEjloRTDPmJgF0cnJkQ
V0PQ4xukvUrKl0sE9l9STriAgmOoKP95hONVErZuEv98Jy8/f4jL6Crx4kL9+REO1Pr4IX2+r+cX
ng/OYKLQBg0ScwxzaCAP1x/WN/0OB3gF/6fIaz8Osd9cpoWjWSkvJszJ7wocSdvHbTHpUJzceRUK
L3ERRbeqdPKFpqNyUXYOslHZWK5InMLKDLIiUFg3LcKosVvmb0hHK7uA7h1nMqu+ibJO75I2UdMg
C5sr4bqpHUUxs0XpJHeGqi5yvWRWEYtJ5cnkMnKzzKrr2L1BLovnJRSFTN3KQROF0KeoQ+EiDEk5
9wWZp2a5JC2/c7MynzWGjye0Sr3L0Gsi26Diq6bTeiFq/jnusPcpM+rkQuI2nhWdKG0tiBsbwSu4
9BB3Zo1eiEWWJOalW2NqFZGIFnXKxCR0iVikcVdYrsv+TlRaW0bqhxa8/PMya+eB0O5raG1hFUlp
i8T0bVOmp3ppTAPm6lPsVqdBrp1VCf8Mb/MiSZzU0ouksBJaRlYcyK9mZawbKhorqZMvbhZ8yc04
nKbSrS3H9W4LQ4UWCTVqkRgxm7ruIuiqbKHRaENcGVpNTE9pjj2r6OLSEqbvzwrNdGfSqXUrNrt7
ANq3BU1vE81ZGWH7jXfegjhhCk9CHp1WXWkqrs4DznMrLzp9mtV8RToRWp3TrcwEIC3SZpK19VUQ
kW+Y5F+6OnjQnDS3EilPg7C5pLUjLZaiwkKuriytxsu+5NYOy0ZNaldcmpwXNo6MBVX0PGkiPk0Y
cSwTyfvU7a6hUuDMz5i0tKbTrCoOhAXzo7EpzwJ+SVrdJ990TM12yQoVTJl0zzTH6CI7R7k7Cc1c
WZKZG00FM6/khoW0dkY7J7Mc4ZsXehWeVr6XW8yMfQtH6Jww07fCqvItR0dy4prcm7dmMOUZ4pbS
OnyTm2ZlVzyPbcMNHjKcGlYrvXbqRW05TXwx0/XAt2jQwUv2lLPUWpXZrhkgu4YFbuswU4mb3oRx
3MDMNpYNF8pKg0i/i6WjLMcwFiiJGys3/dpigkYT7NR2Z+ixRVpn07Z44WncXAameZcXzlccx4XN
AmJDYGdlKDNc1oZJragudYuFdKnx3LhkRZtYDc8LO0UenTW5cVsFSWI7hXmue3Vqi7gVtq6Zp3lY
eqeoTc4yI0TLLPEApULYIflbIedSq91Z3bFmZtTevMhyL7BFlM9VG6SW28oJz8JvMjRnPElhqcMy
SVPWwIuNvqZSnTasTpeBxvgk9BC6lHVKJk6pyRvfy9zT2OCBVXJnVWVaYvmCTnErOiuMK5jnVRRb
Ttpct0jVVpulwWnWdtwqMXYWelYYU64SY966jpjoWqaWaRafuVJn09Ytyamibnea+UibG0mmT5Ms
vaaayGdd0J5quvt3qkXkCvteY4P0C5aaZwhbBumpRmrbbVxnSv30PmO++13F0URIWMbXzPc3nd8V
2IoFKXLr9SGtW5L5IUnb3HPly/m6P3/8z10SwT9Pp7b+88v+eN5/fppvkv5oHTW8qdefP+/65+TX
Xl/9PAZ2oAWfz/h9Q0X+8uLb+vO1KjQhqPgr1fn6gJ9nl/RJIT1R/VCeCMoG+gaeOnRqNKHzDwz4
U3lCc7B+MwacMsbhgKI+QvmiPA1o/4b6jVZ6fyoRNIGEMNcP5YmhnT4MCDqPQ1AEeq+/R3ki+I5t
3Sng+AU4SphC5SmBM0rBVNjSnR1J0qwsm1VcEzGtQPSlVkJ8FtgBqyuYcmZ76jcgxKYgI4r7IjGq
T4GhmsxSIs6+vHp7e1R5vwdwyA0UUMAGQtCycHRm7yu85saI2zQQsqxWOIvRyg262LFKllBpN1WR
CKuqjfKeVanmWXnEi8zO/DxwLadTzLBhX1r8KIpCv4QxZDnBYYg+dabG0bylprNBrYaa2a85xpD/
3eEYCnfBjIFDXqGlhD7g2GMSsG2LFWlM153Qpgs/VdDZj8wK1iamVbUN8icec7jVMdp6VhvoZB5V
eYsmeZUUj7JRCtmelpoTBYdbV6CvpV5ZLDcDd+omvrwKSnEaKSHVBCx08VnJ7CwIa7OZekqjF14u
q2j+66fahQE6COtgSEF7UciMPj30K4OKtZpba2moVnHhiM+JyxG2jADD1Ejjsrmqm1zcpg4K//71
1/Zz7bUdB7sWoFM1I9CUHg6TwKRn69XXmnrjGqly41XMO7RCgSxXscptjzvy86+/CZbPzjcJ6LrG
YDsbODZ8MM/S2Gi7LJfJiqe6sc7qJA/nTsFbbAWpnOpZGXY20Vue2D4x6+i/TZp+Umw/KEwUaGJg
wBHP0Ilk+PVQBe5JN468FcsCcx35pbkOwp4Hs4vUlOZJYrU6QD+vw6zGVhYkbFOEQi1r0RrnDSW5
bpPaTwLbZ3H0ieQpJhPJ23aTalUK2qSLmG2KxMgXJqFd+Szonw/jvnpm9LXF3fcqG/LPerEBFjec
Xwv+/jZQOi3N2DQd7QKVTrT28kK5YKUERWyAvm9j97SWXvDN5SI9b7pMzmhiNJ6NUcW+F6zrEruV
LrONxK82Xk7YY2Wmkp3+GmLD3AGZGAQmUR9sgvyPycBteT2daM49PZcFufCNLHUEnxRCdvOmaIiY
FVVZ2nmT6ddV1JqlJaVkYH/Fc4XzdB4aKbaDMItu0tCMGrBJavdL7UfJslVFYaVmln6iKuATJ4sd
u0x837O8goDx4/gqXtWppi4zrQNr30XCt7TOiSMbVzJamLQIb7DvXrltTBorLFm2Kpysd1Y0AjY/
hhfptRhkg1F2naXX3D8PpcnvHdDfp5JydN65TSXsWpdGZAOWXm8ttZFVt7yboNrUJp3fPKQqK25L
XQMrtI4KNnNUVi4NB+O7TKI6mDtMQ57VycD5BrmWvLK8ONO+lhGLwPxReBkkcbpEmQgfvSqlsO5J
FNx6wmmYVWWGe5o7eWm38B7myMDiMqujZmrUeTZDqEHVNISW9K5d1S7P7ApLZxopkk/KVFxKR3P1
CUJJsQBVg2s71n1q8YKFfzeRLs9wLtJbkxTmvBS+hmeKRt2a0ySfKr3xu1kVcHemNY2+xiqsvys3
TU27w4VeWrGLK3fWFH4Ci6OuwYyqSj7LE0dOwoJEixhutWBPTZ7Ai44qZvnK9zWbOTWzWGI2nWUU
oWOTQoujeU6DqWuUrX5dE2RMPJXroeXDTCpmpKiFmjeENedgMnehc13WGTiWVuuFbZw/Skdi3N2r
WmtYJC2RgyhPHnAb+QXJrbIoy1RfFUERBc2p8LJuXomycJZR7nmp5eMwudWZRpZ+S0hpl4CBA9aj
Dk5VJyPOJ7HjgD4swqDOpjSoXd3OwwLsXJnplCWLoGW1nLRNKIpzqgoCM6p2EjBB7RJ04Yxq0ncu
K1g61LUznnKYcCRQ0SwOvVxYYQbKy5k2lUdtzYGmpqbVOnpswAkHThTZElxgZ1aHLIymygGrYGbG
btTZvDNBYsY4MEo7krkWWpVqXXWlPC2Kponr8e9aWTFPn+gJLuaewUu+MjXHdU5jwgpwYOy4UVnX
LhRsYMzlNHUli6aOqrpsJnIVe7M2pFG70JWKUtvEbejZrDHbcJ57maeBS2jgL1oKTvUE4gRBNIG/
unYZ+rqm4JXH8Rc/Aj94SXJRhNNAFvSmKwtCZr6WYHQma6lYbDGJZTF38iqNb0EZk1Pf7XAwK1Pg
YJoUodtNOWo6YXO/TeuLiLcwtTVYKvnEQag8zYlphhPXIW45YXEFcHpMgX0Sdz7pNmEANWgTDgxE
E9JGMlsi3TMWrscCauMgyMjESzxn0pVOYILbmafiyndq37CJl/mdFaV+p53pTmjMUOq4JrArWDpF
reySpfRQ7U4DYcja6u+zkPBEDNPHJZnd1J7WWUXjaV9z6NrTapYH6wivUBd7nWfxytDIXRvWuFzR
VLTJJBZZcWGWMagkV7EACERE4G05nkTxPUQuYgnOTBQ2M1WbnXeGCre4g6iFuTYbJ3IsjmDyzsq4
YWSqaOcB8yXyo0lIskDZvHamHvKy+7CuwbLwXb+6VSatv6W5JIuK1eC98MDUwU3hDoxjhonfzOK8
QquuSYlxrQoT3aFCgztqqiluF6hlzbTCke8t8gbjehkzV0E8RGPic6xn/eT0/UzNWaikumpao+C2
ntWAjaxjYCxRIHTPQIOJz4TrMLsjkJL5BLZaNsmyUMLBV35eBsEN5rEAB9jw6/KiaIre+JRtc2UG
Gm2mSR3BVydJ11VWg6Oim+sB6x++Zx3iQD1faYRWhhnDU5SZCa9KBknQ2SKoYOmkoRt413HOYMnn
JVgFLlwDmYqLWF5myGhzcKhTqQPcdd6UF5EmU2V5epk1EPVhOpm2VYZ7oQGLyYYnAgHSCNTbyUUc
fXag//gprzyPW1yaAcyL1qXrOibARpP77Q0pGl2duWDm+mdJGgf+LQdtMVexjlaZcLN76GRLM0sa
0sOnCXdFeebIxK0mbc6yGgzcFiJZGF6rrbOsfQjCwLxqSqUni0xvq+BLTSNXLSJHi763EJMBGeJl
oZyAH8DJ1MOtVLOURuKLpjvRLKpTN7OYAWKuzWt54yWFOhNR4JsTE+fYBbEHQUerklh8zn2tcqch
jmGZdJpDxNKIE5RtIhDI7Sn0dIS1UfcSe+qbGrzRpuqqKSiZOjtDeYmp7YiwqEDTkgoiEHnmf81F
Je60Fsz0004UOXosVNwqK0KIVUuvxjBUEyHZ2UbtUneZAiw1BOIEnXVJVRUXTcvCW79SmcWZWhhR
U5mLrqYATqAj1c3TEGIZFzFtjHOt0I1kKrM4qs7ctk6lzU0VyTuwRNSjLmIQIyA6VWUFUtXKEnXF
M9ACbXYbuhny/kZJR3hldWCBtZ/SgmgCBlNOPpVMC9xTiG3V36Sra5UdMkWDpSd0dN0ozenmeZkp
b+p1JUxSDxc+uWqCsDNXEU3D0MrSSqcXBpIGREPBulHTWqaAWs1jz7XyjkUgO5QKp6ghTT6pQszz
ecczmP2B0bhs0jqtrmwnVTT7UpstuvNlDnMNNJ34DHM9UlexiBEIWJwKf8YjSWurKe8xL2uOrCCo
2CcTx1k9qU23MC4MJ+TVTeYokYNyhxk9TT0CaILj0DbnHimC5JzlqYS4SKNDGMlpEgjGeE2juRcQ
uEzrSaQckBlgjZXFRRg6wH8uAnemJA/kpG50fdlmBqz7llLmWYYj2cWTVfoS+3+xnZ+j169jGa9D
G2NiJBfeQ56o5HsxDJJsDfT/eSQFwvD/BEWeMxE6uM9vZyLAXIWTzvZT/Qin9HlEYepwrBFECcBK
AaP/ZzgFCnyhRAAyDnCArCFe5yIENDeBEAwUBgkTCgX789p/hFP6NAWhcModzHrYmAmdEX7Ek7bQ
hBTMHs8Isz7X8Nq1M2FbH4JMCYMNYdC/vz9a67XT0dSOC6rAMS6DLmXtsqMJhJkrSQrnEsQMiaIL
DczaBXdYaGulvG0N17ACaqSTGEP0EznUs8DrC6alKIyJMiN9odeBP+ENye2yStao7Vy7NL11l6lm
EhEIC+SKnoWQbLAzx7/yM1hbrlNM00gZVsVhffO20xeeoGoSlMgBEziorFqLqqnMi3AiaXFWxqmw
EPO+VIheeySe0zDK7aSZxFU397Kitio90q3AT647t/6c0GSpIG5reWECpkuhubYAiWN5ebcWfn5N
aaZDw0tIPogQX2G9CC9Ko0tmoNRjCA2HCdjT2XfiuOvSLws70ti0aDd1g80J+BTTSiMQB4/iiwYb
X9LYTS3F63RhQCDTzglEfoMUSYskGsRUuMhtVDVnpPP8Kc67DURjZ2VSnSFRzxFEfaEsda6ImuZg
9mMfQTonTAM7r8imEODk1U5nCd3CHTmP227RmeAMlK6TQwi+sKvIu+NlGE/CMF1EEI9pEv8uFNqk
KOLrNNfPpFbaIEVAF5nRdQWQlpEB8YPGy+N5oSE+4zQ9RWb0LVYytCEKdK5X4hwsQ4jEhw4kOzjB
+TVq9NT56uehi6eKJG58rXVFm84jFLeWqwf6323ni8SiVfCATTJrZF6DuC4fhJIzOFjEtWsOl72y
3mQGUravGmFFVbMoWrkyYodPtbppZ1khv9cazS2ft/dUF3dF11yjCn2F+MGpnnT3XuULm5qKTJlr
PHq4Oa11t/0ayiwA9zYFj53ENq/AWzT1bOGb+TWozQXLuXYOfuxd68FjpWGZQXqJXzqN8mwuu++G
aU5KWQSWGVAxLWirLzr2HfmJAUZg8bkqwAKIUgNPQrBIAxeSYabmgYMJrnqKzEkOsTJbS+SDG2Qd
5GDabsZrP7X91p1jTd17dbJIYNnYMYcMBFjkVspUNy3cOLUQaLumNhyb59pV62h/54V+SlOCJj72
P5mOdMGex8xSTmvBap6A/lqELIDMVJGcxiaE7SV4G2XGTUvS4LuSxWUaGetKOec07HwraP0VRHrO
UiIriybiLAbXyMKEVLYPpkkuPWn5RVXPswbUXiEJsrCAE0cCft+xZBqF5lJX7j0JSHrbaRQyRpJD
UACbn5gmbxusWbqo/86k4S1TKZZdk505Lk/PnET9TRtnDsG0W43SpST8UhPqWup0kxrdKoryRZDA
3Oxo201SFJcTiCzcVFUyD8AYc0tvnvtSTINGxBasHvpVVWopsV/eOLySEAwIZ1FTn9E+P3UQBfi/
p9r6aOXbqq2v9D5N1lnpxbv6rSf9qd9g+z+C/tSUQj0caBG49FO/9YUWFKLMoKugJLLvsfZPrh32
JEJtFex6gLgigZzAT/3WF0ijl8Eo6Mb3qDdIdg/VG+9bRFEKCX9I4EOUflu9QVIiahrwQy5braIo
tXCJMmnFMfeXtJTxpWdARFoyuaJmPnc6al5nLeQ/O1e/IY5xE+TlJtHTzGoaufSr6kwyNKtIeR5g
bGtVdxrG6JzHaNLhXvwazbc2Jed62EI6rYxW2OAzx2XnSmoz8GKvqS8/sTb+YjaFzZ1sww1u5ZD0
BKt/GZTJRGqaa1FJliaXn/MWDHRDv26DcFW23qQS+qphVQH6EAI5vJubOeQ7PfeTmXmWBk80DfP6
m/CKC0cEsyInX4kbzquiOI0dOiuIOKuMbOVIuRJJMxOdYbsyXZXYB82UXYAX+gWOTV5IhFaibS0t
SC595K8SDU2rUkwy1U0gzn8vPHUFyYoLt25tSKzPjbqckpCucpyCN/9d5QJPI3A2bVmW4InwdR+t
8qjxxferpaag0sBUN9Lt5prvgxjtLJrmt60CV8VpvEvXZAvI40yQTz+BT7HoWnUDeZNvMW5WGo9X
0snOKwphya48jfJ2Ae6Axdz0O/PTFZxpMu0csSSuccMkSy2upYuCxbFlhPVFUDKIMbTZWeYEa5IY
NyKltvRAkEJM87LUinMXR5POrZZ5F9uKaTe+aCDg4Xw2ovYTSPkpjT1kZdKbOkFjWNLRM5tF2YXH
w3pG66y5DtvSmSQeXbNK5PM0a+YcyiQguZl+wTiVkC5uvnHHJ/eJA1EsSLCxYKpaUXcQN+K5v/BF
LJdFkuf+pdF1jWf5Bo3JvMohmiRQDTOgUUtTS/R5AgF/S+PpTZAU6WlM88pWWeBZKETkojG7alK1
CHLsjZdYAtz4iUM6/wY2jM4DDBUCZuEu/BipPlzAp/BYfSis+7/sfdlu3LjW7hNpg5JISro8mmp2
le04sX0jJE4iaiQ1UZSe/v8q+++0404naJxzc4BuII0ESZkliSLX+iaukGRADVIqr0tGn5TR5M10
C9AMRA9f7gu6dFdE2oQZAKsUaJSKQMUB0ciHB7DeJKn4tIRl7dwW/qKA6n6dsWOFgeW8s5zsRfpu
7C/0vDospX110w3VHFezvhYWX4qVnvxy/GDN+Nypn0aNIhAAQ6emKgTyB+Zf3jqyeT9PYxErPYxh
xrgdrYJWcanopxztVUgAFoVAkqd4oMFN0es89Ez5ObCgmAFc0URaiy6uHP9LroLndnEeGONf8P0F
FCRo/JbFrWNXLQBZGlfF0Ctgc66yItTK3qq6j12/OAMV3/vN/J6a5evkkX0Z+HsqRZEaa0pAQb8v
VicJmrq7WbK5SxtdC6w6IL5knd23kJZAvFMNiSO0G0/ULcPZbh/ncsVd7prPlvRlSMzcx5BZtGlZ
mV1m1ZuSBEUUrPpplaIL69GcC+J9Etp8MlRDOWIazF2Pb12uGT5Zb3NUEKHTOamvgCV1rrPJpPM4
doUXYqmKuoHtinwC1MiLxyV38cMt+lJkHYBIEADAdz9ZUx8PDl8ik5EYtMEHN+90tEBIsaLwj2iV
R+5kOREd+ylce/VOzG4Tk3JZEsPx3E2WPbo1YO5MZR7ml5t2ldWFQTDjNS2qJZISr2Y/+wO+nvu1
IY7Z6CyH9oT1YVEVM4iAblcUK8d303vlD2fTQEaygB7yG3c3C3IjRg20jOzH2YeIwQqCsLCWMpyI
OVaC3ENVcWCteAewjYS65HHblzr06QzmwlhHiFXssF2qh15QtAaN8uLaQz14L0TVpv085AKFXIam
pBtJZJVa7OhYpKLWNGyJb23IuuhwaVURtkMjUzM5+6FabtHIAJq1TX0LerSI/q1Hvon+HNQAf1+P
fD9Y4q/VyPWD36sR5z9ILnFhrqAUNcS1rvhejeBs0quzKoAylIDjQaHyh3gBKYPgVqGCcK9HGn7r
0f/sttGdo1YB5er8o1KE8R/pvasXgKHigf4INdH1RNw39J5Xj7nfOLl1ti30XWNhR4SuX7IZK0LF
ah5OLkmZXab9kjf1hhSqvwv6xrp1vGt/Ccan9e7yPGj8MABaHU+D3X/I/MJbXiAZGFE2ZE3oOAvd
lN0ow8FBhZAPM34H+fMGhVAPzHT2wScWQJ6VFaS97Ty2qiIveVc3UecYlUrh1THW2DHUuYYUT+Lf
ul5Hw6ly+melSjQEee3Hq9BsP7fevix7N5zdfsdE44TDZG0mZ/rUGAcvHAjrsA5aBw0ClnNrOUFJ
iT7PY4kIqL7xW3JFmss8CRBjsekXtEJ4mdywrwwketgi3SWAKix31tDJepWs7hw7oxku4CxdvLhj
/aR9ttzb9oeCDgWkY9UNRE4CS1hwC9UQsGfHPkG+JkN/Ls5zoV6GAnu1jwUezNkIHoHNieebdTN6
c7FvPYuFzC3MrloGkgysc6sQxOEc+oZI3DPfCfFYrDPtiiVkWKrKUbrRWNB9dwUXKi3N7eqX3qYd
aHVrNDlLJcQ2qIA3ZBbBh0C/FallAQ0F59fWFRg6tIN9BikhluU2SFCs+vHgexa6XiFWD9u3yu4Z
ht3oslQQNUI0sgO1oDfNIIt9xi3/VNB5MOEYZKeK48Ptye6m7NaexBOoWLSCLf+Y9w0L56F2ElDP
TxX4jyQb1VcSgCQDHHKsM9GEYInONalkJJbmq8CO1Ln5eF4aukQNtPIR7X1o0VpwCCimd73uvL3D
lB3pcrkX5YLH1DQbKvC/oPcj27DJD+kyO1iWJzXjC4zOhN2017NDT+DQrf3iepEt3dq9MDZUuNtk
uUoYDXMjB0RUDLXneOy7gMQTJtpZy5mnfce6A6dSxpaUG9lDcFD667RxRf1cay8eibGjxTLDfjaN
C6FhbqeMZv5NBZDeaoLP6MKPvGxu5TQ9ZJZ7GpTnTKFjqZvFKpadw/syzOW6tdhch83I6nekzMDw
+F9GyxyK2jsU1DsuQgaJB81DZ5aEyzXFNZ/9pT0yKPFWbR2YXRwb4edRMbHs1PpqiAFTg2US+T0o
mHzXiXqHDWlbdXhIPgQFai5AvpdeFjqV/zGfZryBvDgbDZWNaYM+tEbdQDbURTavd8HIEh8OqKb3
w1lC+yj9r0CBsbQ0KbDuVIEwIXqQae6QOzXMsVDlztP0EMzQ4NnjEoqRgW439YNfk7NDpweuiY9J
Gkh+znBmxT7z16+qs+9Qbu+8yY8BByYceoSICHNgFuQcWn8U3N2gAk0GyIvDkvmXoWrvfOl8DkB9
h019Ba6WO2oZHjedOi3dmloVjRSeMZQkRURt6Hsb6D1XokJg3C/rsryDrqsJ7arc9ZO4rNKcGwgX
IQ68YuRbr5ERFtIqqhm5bVpzs3RL5KzLrs2mGOqCUKzWZp2qLTTgEVhI6F5NagF1x0pUvHB/imq0
BtYURJWAelHJc6sICmEiN/aIfqic8osDpLHQ+dYQP26kddR6AaVboGN2IIkyEdjErw51oqy3YwRt
QeVZf+nrLzKb7syIKton24XwsJjbR9Z58bC6MU5pg9i+jyBrOCO6GowtTynqNZabO2qCd3W5OnFQ
1wPUyGTT0D4KgFeFoJ9CNNmpH4CF6oobrHDp0tURSICY+0DOUL/uXHvZmrV/JPa4X5l/z7l69MVw
l+vldmo+Q6f2pSNERLWxQ6h50oKrFChSXOU0EWSJclfcgsc+Se3eOVnz1bbG0OkJBB1eqAjZWoHe
+oOVEgGWiMkjCM2HHt/Uy1AQcqaSzNKHgUwpXsWbIfBT2x32brZgwC7JFW6YaYdYdhm6Meq8zJN8
xI+iqcnceBmoivAmdahc52hp549DOwAesw71KHcrwFa5QBei+yoVFjYJobIuCsQCJSv3Ns6oPzRT
+zx2kB0obwetHgTcwNDk2G9biHiJaWS4smBjl/px7skH2Zd3aGs3GTVpkUHHbgdJ3o5bb2SYnd5G
M33byvqg0Ahqa7qvC2/rm+yMJmrX0mYPRfxJSJCS7VSkYOwuKiM7vGChmv3bsg+Orm2eFK/BMpIp
cgL/Iev57dAP53Zgd5PJCfjm4X4CzqiVRA2MirZl9bFm+b72OwI8PT/114VqlY9LNUJjwjYKNNs0
ztB3zdEwX4ue9pCp9qFXy9525MFyqDhbGck+5ZB13A8DODDITPY9IeE6z5EeK2w85WeR84dybLyd
M49FGHjjE2XY1K9tlAQfX9ifeWOF7dg9Vr3YIRHwjPW2SEhfbex5OIA8x3sJzDFaif0k2KDSwK3e
NQDmw85Um8q1L2UFLKIKVNjK2U1hgNhmEAzMjtWAuZORhkTOy+c8shcnruoyYaK9mJxvyszsTbt8
VpZKrKH8OPYsVNj/8AZAhl9qL5mmPOmF1UYWKoRqhHajxiYBUHCrLf+z1iwdCrLJtZcWxCStVFh/
hhJ2CbOmpmkPy5gf+pG9k6zAXoMGtgXfOUJgbYnZ2rcOxVyv8Z6uQGXkrrbG02rNT0OvXia/T/Jy
CKKsNif0kn3UEGx/r0ran7AxP8rU/lshurYDmMoFrwPW6Eewapz7vgcgZ51Jsy3KKpTVnSWq34jh
UOe+Inz+GITbNnEhQXOvLuTXhA8ELoQzaltn43/q5808PRn5NXfjBjjqry/nZwUvDhf9PtL1m7yS
R8pMLjYMK9bZ8W8ERWfu2cm67iR/X07PBYiYXw/307uHtwmHsdBreOGbC3N8CSqllvlFW8/jdOjy
l7Z++fUQP7siVMsoljHMVQv54xVl3DMkWJS4aBqV82ZCr1uLImzyTQF03Rlvfj3cT64Icmo0LeD5
6FXY+uNwuuWDs5CxuMA5FBZuB6Jno6rfXNOPCOm3+fDDINe/f/WUhswaGc8wSNn34dgfy0DE/3eX
cb3MVyPocR2BYWGEXp34lQ2T7zKv+M0gVwnnnzzmXy/jzaNRFewRuhmKi7HcULAoKC60gPjAe2JF
xIezMw2/GfFnTwdOKgIrDQ8YVMc/XlZV+E3RlnZx8brbjuRgknZe9vWf3zqEsl5jlDEPbP/NrcuY
a3EQWOUFfFzScIi0ZDTXD78e5Ge3DmkFAaNwuYF+ezOInIXnFYUp8XyeWn4U6BSBdYRBdl9OB6ph
Cctufz3idU69fVivR3zzsESAYlbZS3khBoaj4QO47t8sBn+R/FKf2Thjj12DTmFLuLb7rycdnCqi
EsZuLuWx3407bJ4nGbGE3Yo7FrVJkfqRlf76qn42IV5f1ZshBShnMypdXjQf0CYX4M6wKMjtr0f5
+b1D/BtOCMTMu3olX18YX23ujQ0pL1kXQKJ8uHq7fj3C9e6/fToUaml4P65nj76d2JDTFvYyWOXF
Q+u7+A6qzeeCArcsy99cy8/u2OuR3ixw6Ihlb3u8vNjsi/BvWXbfrb9Z3n4+BIMvIPDwJnlvplph
V9qna15d2vbMgAObwgEcy3+z1f3sFcJk+z7Km0df9VqMS45RiuqltraZayU9TVkF9dR4sapNzX7z
jP5yWQ4crB7BEZLYipDk+KZUcILMU40n68uoN13/PPOkW+9+PQ3+MtHeDAEs7fVEa3WOGyq6+jKv
IF2tPF5K9pvb9vMhvmWloOABzvbjEKUxjVWj07oM9Yu17vhc/GaAv0xlXANOJQCMf3X2Ot8k96+2
HiydHuD1tbmgzmsmFolyV5QoTIMv3+7V/2uZ1P9/LDHBI/l7VPb/1Kpocav+IpvCp/6AZJFdh4rM
RajZ9Swf55qW8h2SBfCKh4L/UIHANfYDQRxAn4ujf1yYU2H2cv4kiH2c2AZiGMGIboCULLjQ/oEA
yv6L6wKSJ5gk8QWRrnctsjDS62meY4aUpevXZ8vunvIC0qF1qj/ZC9vVNgyRJV+joZ8SjzUhQWOx
uvkxWLqb2W8gpb1SFE3RNajMrKj3JifNGUmJdO/nQjuJ78GYrPPlSMYs5paEvhoKksJ3VFTb9VEw
tPHagoajGj423OThZNPPmVMMEdySORyt5mB8/RkqqC7yK7LExAUPuWgGJrNdEzJZNfQmzEAIAlmS
N8FbTYE6RKNsl7SVy8VZ0GQCsT1MgNRCaBAfXfhJYkhDP0vC91gzVdwZtFi5HirUsW7IxLUb9YLL
GtgfdLbmgDLQLAlhzWHtjfgjL4tozZUTNk2eAQAA4TqmiyezsIM4M3Rm834V+QnM60Fl6iBwTaFc
wNw0jnM3F1Ws87xJqtY5ZbbzLlvqMdWIQgch6sJMNoDgVhWUUpS628Zdiijz1Qef9VbEAQ5OecR0
V+T3wGnUMxTR75eVzocR7JByx2FT28DsSqyIBkxu0VabRgFFoxOTIZ3hz53czAF3659E7rx3u8EN
p2I+WyjAkqqa1thha56sAZr7vA+sjSWnO9cSn1mdyQ3U15ENTfVB8o+j+QjheUoV/zgsrtxMPdlA
LIj2FECnfB/Yor2vCZRbX4p8/Twbcbe6ZEy8SUkvRGft+x97sOsZ5veOjC3ZmtGRZ6fPgjNFu7tf
giyiwZS0M1i9sQepRQQpIkGD5cYtV4g9C9nM2Fe8D3M7x17RiJNr5BdoWZ0tkXnQhT2Hmum/6+m/
69xVl/n369yb3MO/LnjXj79a8ChWNSRPOAh98yk2ve8Lnv2faxQ7+KQAb+q3tfAPRQy7ykThm8Vf
wCjLAnzqDw6K/gdOUHzs216PPuMfpU/8uOUywkCKQeYZUOcaMsmu5Nnr5a7HcVwD2s38nNc5SCJA
2b9r++k31+urAhIHHSMpAz8IdTdMwd/MwK/HaGxJAlUvBoZYb9eKKUiN45R96jXmZFzDMV+hTd+A
PS0TbinA7fbos3tnVIWM/THgJ6/34B5s86w7Tb0FU1Yzubw7cW4B16HDtOQxUba3JsMMq7maidpW
4B2SHoKZjTHwKPUS4sQZ6MQG7G6XDHIuNy5XCAzQ/AIX4rWTbkAryLzfFFYOYiTvZWlt2mZe5X3b
r+Ir/E86de0iW8vIH4iVBPVCHcQ51PhTYiva2ImgDXHvR9BoZQTFR3c7GnwLmKTS1bJhijHi0VXw
60ACGZIa/HcVVDtXdxvt8eM8caCxo3UzCf2eVe67Lhju+2o95q1+zxl2H593MqwKeux6CntXdxSo
YGwUmjvYAIo4N/ww23UIlZMPxk6CNTTAbMGxrHLZ94w8qbIEBlt7PCSyO/cFL7dQmRwnQz5BIbgc
hAIDQ5HmEPq1/UXUEqhlECSL5CUIJdTKOXWbdDSGbVo3Ww/dog46szamqbajVeQbaAL7GKr2KF8V
wiuKUzMzN8lcClWlUJt17XdZX9xdt7pN2UJOC9weEhvsFvlg79rB9ED0mntktByEa+bQwv71Au8F
1Bh9Pkfwb6QG0vvQ2EVCKfYfyICAVWU7o7rTTFuIXoAcAwz0I1QSyJTIS3bPKJZ619BpO7QtC9ss
cOImo2NElvHUcW1FedDvdGWWjazJF8qnz3bD/E0Pz9bBDVCUwubCilvV+k1sG1qwyK6Ae3q2tQ+q
0t4MPnmpLAG5tHUz2t7DKKxNLTIYA5ce+iA/mlwYHxv/VrdtGiAdpeyzZLCtqOFztZ1rZ+PPowN+
DTeetd52IPqDvYK2VSyPvSB4Ro7LSZLRhUTZ7FlNLit+qLZbeLhEuFJ7MykLjkL7i2WZnaTr0c2s
beC9N9mz9Ne916x+ykCt9h576FY7vEpFNLQ00+iPB9pUR1jSLnlW2pHrVDzMquCpzp2na+h43M/2
MaAtVLr03Ikt+D8RoSpAbQDvgiesd74ZHmilE5NXJmYiv1CNcgDd3AIVb3EYZbUDYQFKU9vvlSXe
+X7zYCmA8O2cXtVaMKPsu8DawxW5hkPJERsRbGpeQ9jhDbErbVg/Jzre0bnc4/oOrCTP0JqUIfQ5
wKxlL1LHVeVNQ021NVbjPMnZ9x4HXxY9PEJL9tCMWXVnMg9UoqnthILFDa1iFHFnVUC6QcVHaNim
sHMsEs94LY5aseIGom8LgrBeZ0M0KX59w2zmybALroKkLvM/rdzPY8H4e2tweKIHDkGdyhIEuqB2
oQFk2wKksV6m+rD4oH1zh92NBIiK281dnINDDm27RCTNct+oag5B/8ItAxN5CivcI+f3JZ583E3W
GntmaKG3rvkpUwI3e4XOpOLyE0UfHvJuEXjl4Kul7B0BwYL7uFSbfMmPZWOvoKiy22qUnyYTRGUG
OX7pII/FIvcZx1N21fMwVckqy60ux6/o8881W8s0zwA3u3P9BGVtKrj3fLXeTf4AN72NIhfePoUK
rfXD0luOQwb1O+qzsvaSsnM+N2AGoXpjcdnqJ+1mG0ZHFa7F9DyMNFU9HnM1p07mfbDb4T3Meh+Y
LZswMOW9qZdjG8zbsbPxgs/lh1wsMC3hFTVA27NmkzcgjmCRuRvH9cwG/mQEu5FwGvpUf5hXSOpn
uS+8Vaewg2KxIH2Ep5G0vHpeuysMWPINLUGzmhpiydEvdvlgRCJc4Gkl4/f2iqc21HYV5q33rtPF
fnT5GIFNeMJOAM2grDB/2gvkSONWlvkHBqIohBF5yxo3wXITQ2N2cltcfSO8oz95W+Q87O2RPQVK
xxloD+VXZzQ726qh4QBzKsrh6qPlWzGbiy38+3MI0v4jGas97nVcrKYNkeGwh6X3dlAEX5MOe7hD
tz3jzxlROw2NKR31fUa92PfZmkJEL8OmEBdCzdeMzHDCru0zoaULt0BxCli96eDcbtpxjatWbqHw
6LYgFZejbbsQmDvHqS+eeSYPpIcszXHkmLYNsUNJ6XwBEyRCv8/dpPL7x5YIuJqJf4beW4Zz23WH
wfbyaBSmSRnnL0VtNTFQUetxVhzzBRbMZIFrIHRpUX+GBsWLHRf+qXhenBPMrP8QOEUJEgAiw/mx
LtTF0BO/QZbsitlIusqsm7J84NX7KvhE2eZVCXj5bz3zOlXgDQTzlyGuldYrbGHBLObVhCFIt4Qc
GlJ1Bob66zHe4Bf/OwaHNumaMokclR/HcJxpaeagyM8EbY3vndfxaMw7CEh+Pcwb+OrbMPAegq/G
aX0Ugu0fh0FqB4QYlc7PU7MmHVSPA1zYVvcw0cus7ZAPkN2x/5Jd/7YS1+Ma/r6VOPcf2/wnkMn1
U987CGjgcYILZHHeW0297X9LN0QWB9JlGZLUvqvYXBdhpB6Hlwzyt29HQ/zZQbiIHOYcv/Bj2bfU
u38CmbhvewjvCs0AHEYb44AzeBsH0nF7KWaPZKcefW7irnUVoDEOsoOFgIpD6w0aqyVZpmdaij0k
1k9+Domx8soXVzM7tmaYlrZc1HB0dS4pdxDYq8SURZlHDhfyfd5r6E4h40NMRysWBU1MwSE0Vm7/
EWrh4ss4kaxPnZaJmA1awosPC3hmylRMRQn1cj04iNPqqU67HiFX+8WzgjCoFhhnJohEq0JxSK+Y
uUri+q+WnxuYfYDnsCLTIfy5nzMYwkO+QLpruYgbg4YIzdKSQzLTg6Of7LNa5WFg5LSu863trkeh
gyvqe6SyRn0udgZdQ8R4jyLIthjSCDTyfQYqjoryDVHWpdRdeacy/zAqUUY891vUpIN9bAfZR441
V8nCsc/3yipjr5vOZhzOVmUg9ckpCRcKKlXKOUEuCUcKAh8tFRXu0n+t3PG+qMk94ahoI12P7cXq
qvXk0iqF/CbNFRePstCRh4o5wz4ENhvltSvFV2/Iy8hRXp44ErFfwRQHi9vAsMPmVPndGHodBCp9
32zaDperoFk00OMhzcjjsWPD8q3zOdsWqpxCdJnoGix5x7EPBRyaBbKgCAqmNlQO4oMKZLGsbgpP
BhKGJkUfhsCG/AMa9n6p/ZTUoE9q1URmWvsQzkT1xLIJ+XG2FRTo4Zx8iIalL//pko4X7kqq+NeQ
KWRcvcWjiZhJFQzljUOESl0EDHwUC+7TvFTt/7bJ/65/V4T379c/RJB91DhNfPgriHL94B9LIE4V
hXEHGjPkZMJbdI0a+w6iwHEUIN8VriFOrpzLn0sgTru7nnOHE6evIuAfUGPvPwCf4f8BBn2NLiP8
n6DGyC/DjvgnxHGFUUDABWBmv2mJcX71jztmm/ta19qXZ4KpuoV/dSNygJa9Ox8mTy/RPDnDEYJw
uXHJ6m4CM13akiKkqW0+9dSR8WAN23oRLAncHvKrmbuwe4gumgRawtKanViMvoVXjq9YME1z6fLg
g2AodXXvuhE6pwOyJo49o1tfBhCRWVAiLgqK4FxGa+ef1n4B3igrjeJy3OdNiSaZsv3qQ8CTU++E
QuAhZ2qC/sW/DWavgjq+uB1J/9FhFLZJlr/XDVPhjOgnLLCejiq9nnjrfTAZunPbdR+DWn7gRh+C
yj7OXv3OYs1phPM1QvzBQ9tnJLRsxNhk88Fb6V3blqmdW08OIgDzLk9H0nmA1tVRefIRIao3rmhK
UPewARjWhpgUH0cgLWFrrsuwNyYFX0UIWT08Gr3hyHnpFogy2ynRWi9IMmrOPSy5iNVxt1Igk9PM
081c6ynM19nesGpMS97dmUojJ7SyISJy1oub8RfgTu+qaUnh4W9CN4cYifJ0Ec2uQCRGiCbywifv
QXRZnii6PPICKHcxMxV7NoUGsS1k6hbLAEO0txn79bY3rZfaot4bu/4i1gaRCqPzwEVvIwLCySIY
L89QMzk3deZtjZ/fdzdUwI4GjHf2D3wpsQr7JC08DdC6Q9zBuJbJ6ILp6yf/UXAOnqC7yqplsQFF
0YZVI18qj8u4HAEUO52d1j7CDEieLOOyLQCzAasvP/W9+wUH/X6ZJcm3eUdvrkEQRnc5wrt0k5RL
Td+7rELmDUhfAPtFJNtu3zC+q5l9YpNIez+vUhvBO8lijAMNJl82/jdIu2XTmMzaui3U/DlYq7mP
IFouI9J3m7WjEAqO3Z5anRN1VG0DLkUonaxEYAqSKnGM2dax8hZiXvMRffC7gshYD01C4LsAWQBR
rB18kK52I9Gh5YFpuEuKIDfIeYXlaEHsQWSvk42NX8HNxuq7QCPazsncEMFluzbgx0wPdthUfYlQ
2RLvhVdPiV8qO3U76YB64CS1areOCLIlDovT3maWeHHzmd6OWXOHeE8SXmPMIPPDtYgRgjprnZIB
2z0Mz+sZ4bXQvsJqGLpCXTKPHUVDSKxISUNe4ga2/Hkc7f0gbwtKVdj3/gWoCFAsLm9MVsOvPs77
wJGfkTirwm4pPza0UYlXDVVsGauK1Yr5MTP4rWgHjOiqcHWXqFyfndz9rCHbKXfAOJNCQgrbZZgG
usk+LtdgF2fpTtlaweriWvdG0W1rCwsJTeK9lVdfqgmvjNNC+6cU5HMB+CyrUWGApDIEZNTv4Pz5
GkB3DRsb5p1be4j3bPOEIicttBSieXXetUfLMexkt807q2i6G6MBGyAiq0y8YM1iswJwmzJI3vOe
SATY6BO0nIh69bCh10FxL3rMZkZze9fXpUhohieOWB6E2y3rLUJ7eYhawQ6HRqOKXKw7t+unmGAk
CH2h+oQYHbFcVZWlehlLiExHuhV4XpoiHxcpViB9utuGuodaDvckI+8yBpzZdjT0zcxB/Xr12qHs
gu9OGbt/rAI4qRM+tLyMhqk8TJMu12jUbuOkxZy1cVcWw5Mf5IIev22F/9YEBJv039cEQB3Hn7RE
1w99rwdsUMWcXzUCLo62vCrvvtcDyB7FSgvr8VXhcaVHXhl7bLh9YPfAVs2R44tu6Q9SJcDZpwxI
KuhniC0J+JZ/0BJ9Myz/WA9ckyA5hIHXIgOKozcyE63MgGQx4Z4HQ0m0Gr2bF9rBx+rCz8K7VLqw
GPTj8sFDckM85PSld/0jhPFVzK7hQaXJKDYPcRixOoctaRG7AdTQX9UUm0HfmB5pGDToJWxz06cl
aJ9EgeW9qe8qWm7ghdk7rnPXwaED9hPAZqCcASJW59g2yObKLe9hgKw/qoNmRKxP9gDo7wNDZlmI
8CckPZvmzHL3bENHEnRy79Udso9Xd7fqDCkecExGWpgN8k0Tx1dfqRJ305yzPQiaDYJ3P/mwtgTD
+t7ABhdWDt5coMpVyGnTwk+ZRcSAB/eUeD/b03OFFxPJv2LrTBA/q8EDMyxcaA/12EaFcm+qptvX
FYWvCM1Zp4UdopEYo7X2z0XTq2jOu3PJtNqbBqLmqcgAmTcA6Co0Z1FA8uxm4JLEyH5bOTLS16++
o6sbTb2XtcDNVVkjbh0k/YRi6L+IkQSnEl0bg1E1zBy1bEQ7+OcBSebYJmY8NZRkYZ8DMq6QMYD0
L7QCurT5ptBg7OF8YFtqvPyW5K69WdX/sHcey3FjaRN9lXkBdMCb5RRQ3rDoRW0QlETB48K7p//P
VY+6ZdpEr//eTEyHRBWLRF2TX+bJNFrVUYJtvyS0ZYzIY0lhRGt1ztOdYUz5WkkSfZvGkti5wJ+0
Jw5vqhC7IoS0rk0zg2TSTBsTtQwEtJGvm6LTtySNinVppCetrI9Ll95kpbbHc7QESeF+ZkRlI8oW
JsbpBEd9P6drLXRApPdRvlbT2OUHoc1rUFHetktZydOp6beeDqWpiBoQnPDN7hg2uwwWLO70mpru
VDUMA465xqo1DOU2J2i/KhbeaT3ZJBs4HG/cSOkgW4zuahYRrm2oaWCQsuRgte24jfT4Ydbba9+r
5TpWiJYQV/4g8hYGWGyjT9aeeag8hvARigJypfwRJXr5fmyt9LEEEbdq8Qru5h6srj5FgnhIqd0Q
jiehWy3wW/i5r4xG6XfuyEg8HkmjB06ffMoKgq4qSZr1EBXKTu3STW/l6zAsPWKl8CELr+Q6ymyL
OCjXVSUd3aCpity3yYneLtp0m049l9eCiDYUlsTP9fwCZLLbwSH73JXLh04b4k1XaT1bWN6cE5hS
PrPNIG9qe2/PI8gNxRm2bliad7rSPyWe6JRA7Xo4GLE+aZoMRX0c+a6cRcmgsgG2b9243pJBetCU
UQObEtm+OniHEjLNehxnbeUN/R6bgfRSk9cG8LdOylI5MPXcJYbxOLQponUUPxR1enDS8jo6ra8o
zrm13oeOfuyFPZAoyN9GGyHRVDD640II3LEfTz3b8c7zupSRE4aPKFNPOq8WV/FxGMzPoOB1Dln5
WR2RhAdGTYsLPjVJIYR3bfGpRT1YgVzcoyXeoh2dQP7A+5Qp57Jw4XgkGiGmIbaCaRbEsRMH3gh/
vWwxwzitYW3mmV8hYwbC+NF9ziBLFf1LZbI8uCoaupM1x2TUXqfMttdtZoDrbEW00XptqyUGzFmz
WQ8powpn4RifU24AhOe5hwwROIp59SbHXYmC8By6Gn+zUzkXZPngV5049qm6A9VF3MMMN6mclCYe
+agUHCMjXC/opuatDdGMrCEJoGXaL1nYF9Yahvy51LuPwmTO3VvvSC+Rqy60VdosH+CKQs8U0443
nW9iXe2hsS1BbjsXwnLb2BMktJvRp8VArAah7ZTa3s1MiVI94cSbjLey5yDXW8MPk/xD53o7pzQu
WlRtFbPeRlAz+Z36zLf4b+s1dpOEgUX/uU2cKxjebs2Qad9Jvk8v2U0kEiEdKuwFxJ8MJr9dfluA
BtKS+IEUxTq2y50j2UE9EKE86Xwwcw2j09ZZFYCGUMROSe67KknDFhAR8uUbiszMlZdoJwNRvXWv
SZHlfmSXd2rSNOt/z0a/Bp9R2//8bHR5G14/vf4sluh81W+HI8QSleAIsWYE/C8noN8ORxp9oxDb
OZRIBrs8l3x1nODL4xxFEw59KKAWNU5bvx+OVBUziuMRpP6nwWdD0mF+PBsxU2CEIfUSenfkn38z
KAl7NnUrTOYbBmjGDCeFzRduXuc9Tos+rtRZBwuglyd3ye+gPoBQyaHcKkytx5jNZ05aGIedR7be
u+F4KPxJsT94cXbOe+9pWepHYyw/Ew3a1Aore4LlH+UQ/Edrs2KNMC314kQSiQxUOCD+LsZlVGui
cLZqrmqGQ3ZkLxtD2Az4CZbRdpBzN7XeZbnzFM3LByVEm2VAvhvr/jFLumvjmRcY39oWa+49UNxH
IaboEg7dQYxDtZqV9qi5KSTLctgUk+A9L0HqskS5/b534w3n1BD1udyUsfLcV7AXOnLHunfJQQUv
sCqD0mHnCssWkZcNjeaGTe2SugZ3ucIP+Ul4yU2bafYqSuoZEFNBUjE0fK1qUX5QRqwUoAOeNmx9
pZKuPcV6KZZMX1MU4qynRM0PjkhAuowgQBS2o8kRchMYghwsNaKvSV4aEKGh9fc26cj10lhPTT3U
mR8ltFp4Th91ktMg2Ccmu22XR20cMcmQxq5R5KElxOs8JfRxAdiZsorEUW4GoViKFaPVk2sP66yd
t2o+cRYd7DW+OQ4kUbSdVBNh+kt1CPlC06kGGTx+q1LrnKstOP1ueb+YWcxEigcnDvtHSLnvk/yt
CS0y2LngFtnu574/To2Dqp6WO6Fj3ImzCsukM5w9VRR+NhvHOFafZ9M+FBVwtcKaX2vNqh/NgsRk
Yd5p7FVjNe57mBRTmqJpW2gJShLuyGFwja2N49xzo/YUAoezMoM6LtwnZSCJa9fKZvR0nDgDN1z4
K2447hfPyjDgcJE1ozLwBg5NAyjqBPLQSnWWa6mHG6Pn+q3guCED9rTk+XNu6Z+Fwc8sTOt3qitO
ZZg9EoR8iYrmOiGV+1PHOLlc3rVNiTlVxDtGII6fmxwUp+5QwDjz9XR5N7CVlVr92s0JNlb96KUJ
q371YidjBxlmzEF8llBFmvyhN5vHuLWGVdWjc6hOdiSLv64WyEmd81J7DAGa3j43lXMHemWrGuEz
LQXTVp2JiPf9e8uN7gBCbxytvCF+djNVqsdnbNFPqYsQV9vlacloSzDwO5SfMjw1/dCluLjCrUhG
FfyeqQXCmq+JbQUud3XoobhWOqd9t/Tt5ONeeOWcXCIuZbh5WvOgYVtZof892NI+Mwl4ZkbjPJRl
dCRK+bK48Tn3pltDV7aamjFTr5nuACksPIw0tlPvh77gAQxl+nZah6n+ZqXADekLeuAxfud0ING0
UFy6hAinZ6Bt4fBBn72KcMQx22qmH0a6E8QhRqPcjj2Ej0ZjnDTlV0hSd1nGusIMq96HQ6yui1kb
N6XtfZjCDoZ+fQ0xcvkIRmGAlS30C87E6ya1jvBOzCuc1K0yixg5inHRfVVqH8PZwJSVLdzgxMlY
og9aqR16MHPcHzxl3WU6VJQoXbWUwWwYpWA/ymg65rzIMSDOgiarZKi99lYVMB+UL6djLcobPzSb
06I5x07XDkmv7eO4u2uiYUCUNPb2Yl6mXjmKgneZZHVQdSgs1qKYAbGHII2L3ncd89ex9L9yiOwR
+fMt/yTa//yXIXH+9gdDEvmlX/d9zfnFNpnnmohxoNTkxvp132dOTPCJLOSvkojc3L/u+9hJ0QLs
362mv+/7AEmlWYICNjASBKj+0ZDke3+EhSbDwQOfl0EpElElVf75N9t+ipfLHUsvvfABWyyHG87W
/LsCFk4jPxwu5KsYFgw56d53mW5//yo1R2OsS1Z66USa5IFwVa7nXjMz3ESDWKcGaWM4+/2pSfDi
hIkWDE56HVvHuXo1N8rYNRlgWA5XMzmo1VzIWrmWqL7KFHfUi30/xOdEjjt77aQy7QW8fa6Z/k7w
KBKmwWrKXLmQA+JUrb2NI4fGYW/NAC+9T9oE3hy0O3/YZeAH8v5zIsfOaIvcJpov0+iQr5/kgJrm
ldA+jJRhbMNxAmShcNFLPR2WUr8I6XEsYefr5hO8aGfr5JbxnhYGCr84FG0TNYvtddzXVU5cniYz
IbQ5mGVqYBd5VYht1CgBEwyGe7Hndp62Tk+H1mS7MfQrozLcp0Wvub7WOox6BRLeVhMjKi9tVhhG
GExZRTeHsKks5cbFN3fm368CucNlytQfhVJuXWEmgU1b3cqLdZIJjkvXWW5mh36qbffK67XGe2uO
nPaoz2IQQTQbd8JprOkaa1jLPAAPR6116uOA0f+FEbb5PMDBwps6L/dmV/amlNUqKlaqrlV3bjzA
0VTH1uMIxgHLLk00iF41A72aOOD12ejXUTTvB90aLl7fg23lZ85GurSvLTVm0wwibJ6Ydng1vRQ6
hl60wmQV5cN4tww9hqs5X3tC8+6imZh8l3I4c2cv3oiqUP0pMwMubsznk2e3sIYTv7ohsOtkWTdd
qQdYBJGhobAd7KWP1043Q5rpcs0vvdC8tPGgg48C8m4bwy4HfbJWQT/fRFB2wOUUZ6iWCOVtuYE/
fWsKa+/GfRqEdr6jeTALIkO9tt54j/90eIyGyf0sIFy0aRbY42R/FkkfWAUI3bDWHlSl30R2t1F0
kXEeLDYZg7WU2dOqtatPbdu9lUnzNqfzU50qQWMMBw8jFz71lWMuW3NSz7M7BIbX7bCUn5aG1rZm
+KBa/bkulE0+amujIXHQzx/LfgGe8pH6Dy0Y7dzgcBnxTVjDi2UnH/LFNlHWs/YAZVRa/ZYTaiEJ
Ev1so3Sy179U/PqogcgDRkPrcLA3ke7uenV5mcJ2jQ+Qehm1XsHiBZcK6H2fwkwK6BQILD7SvMc7
q+/LYEqWKEgafJzmoCbn2LQzPw712y4v2zPtF8dIn3iYO22b1xOg4BAhyS3mo8eHSCWioXtNMLnu
yQXnaE7iGcCtn1nOfa9Ht2VdnRz+e9C9U9EPt7GXHHLwh8yzEhpU6GKbORumMYPQnmocOfW4ZEr2
HkbLe0znh6QlQpK7h7TXbplMBmDgA5HnZ8tM/Tqv5+PiODsqo/DbxfPHOnN2vTyWN/g/YyZM8zIe
XAHtpF7K8tC54lMxhw4o1hLvdsQF3pqMbFt71TbEcXy3zEq9+WY7+gPnG6ahn1ddWQhE7BqLP67F
H9b2eNaKdrbz5CJq7hVD7iEtDmjZBbi7U1cAanKGcBMJhqgwHt+0qm5v6zpTH9zF5XY1TXd9k57U
KQwyz3lWp25bx/ZnAP4gfyqkgyjl6Ad5dyMWSW2Ro8jQav0Rugjzr0EPHLfbDUJ8aJyl95O0fdKd
GBCz1nENgmBEo50/1n4LwbHKaLgMS+gfzVY3h2vOTL4tnE9zXtz3TnqgvOK4tPkBsMvJqcQJtysS
KVmhoJ2TnY7R1G+huNmhIjYxWjsBL3Auantnzr3mV7F9UGOPz7URqaewg2WTNtNjmsCI82zQwvqs
35gJJJHaliy9JDsP1XKJ23SfjdbWAsIRJKjt4ZfWRbcBJiD7YjgTW1F1AjlPs1ZJL0Q+HslIYTHS
KVKsxOKLud2ItLnJ0vyO2UhEb+OQB3apJL5ByiFsmmtitENQLCBzGW09mswjAGEkr54KwIiyTubj
FaDhZZNl9aesVrdaBaLJ1F7SYobTbfu2Z+7Abp+NVnDldE5qrQ7AC5VPoWYvK3oTVjZn8lWWF9pe
qeRa1p0Sx36nqzkFjaDxXCV7mQvsPinlhWszjm6MBf9XKYfzFHky9AUA9CQMTBNJUjfnXIzF/q8f
1Z+sakxl4DWQ/XQ9BJAfY+DpgiWgAYt9QYUIjPTQMIb561f4yTtJXSVmBxcEgOnivMPE8u0xh7qq
krhNFF1yIhOKfZP0CRaoOzpeeRJgaDP88dL1X78m0s53H0DeyA+vKt/3N4ervsq6yjQU5azO5b2F
LLSix+pet8Z3kcnZA9U89TvXerZDgxtOmfkDPUN8KkZBpCLBMdcs74TinJKOcRXlDZvcG7UPboyZ
mGz5ow3hMojIhzi5+WIDPOWeZdg9T1Mp1v3ilGu3UhhvVYPrk+WZ9z3NKR9EmXYbikHpxkiSjznP
6pqOnzhgBZ6DDruVD0n2vjfzZct6+NhHg74nc3jFY/Updbwdm9JD2zQbW9ZG6BbDADVW1qnKCSUf
y3IL+lH168I2iShArnKS6U6Py6BMsLOBKkP48OYjD/3nugUK1lbJvjEVJFXzYVrSZ1PNDhZ4Vfhy
HNaSkGl/2iUYTXqKPpf0qCO9lnOoB1ArVTaYjFVWfR4IHaJyF2eXAVjZjGsykTzB0E67iH4hMKEi
JXxTLSkDhDw8V7VLbtOhX5TgKMbC+xjo72qqlIe+o8DTMLA0LE63VSoJ0unFqx0B31WL2xq3W0ND
y6rVDhCI4CJYBoIvcYOK9t1yjndTOFFn2vSXCuUK6qm1bxrzjVsuF0gCi7VlbqPKPDlc6P/mcfu7
Z5zbxLdP22hyxNAXnrb0VF6ji7IBo/s0bpe9tbNPLluP/xE9xjpoZ2Y3x79+cTm//UY+/Pqo4zkl
m6sTE5ff3DePulbFLgByUzlDZF2VJ92vNuT4taPy7GzUtfp4o/in52Gdtqvhlf/JL8RtV4dkE14M
5jx/8918v/H9+s0YcCTxfyFlsv99/83M6lgAn0njS6xeKyOny+a5GXZ//Y6/X7N+fo0fvGVLU9DX
Gucxm+tb1Oy8+fav//0/fA/wPhzcxYaN0fj791BM9gKMEJKYUK41VLnGumV29+U1/r9f3aVT/psf
tqx3/a6b/L85TbE/y/W/ftnXazuVICBJ5AWcHQPUE7+fr9d2Xf+Fm7xr/poOlcjR367tzi9YDVn2
ue5L+6L8o69yPXZxC5ukY1k2x2+DxOk/8DJQAPTdBw5vo7RFQE+FvEFK1DN+eP5KzQiL0Y77G0HT
18HNPfPclNPRLfPat/rmyQY2XHOf3ZXCyZe3WLS1cgsLibvMQoWCBN96cVWuOli4XWQehITj1jmu
OU0Cc52MjuBEQnTxEWyiDKwuB3KMXhWoXVZ+qLveUHPr+cLinaPqBdabYGt1uI3QCUbQEif1YZiU
5WBV5RSH/uzOCSJYFsw6MbhOaT5HXrlQUqqG21kT1CVqmcfgNBqeKmYeRz2xs7NrlLQBJvdVj2dr
zeFf3VSaC2W7IRPmDB6HcgOvRp5LYojNCavRvGPmNN26jjTf6vRuY03VxbXoUhgM4ZFiX6aVEnYT
/TzluGvG9qK1IMO6sn5pxuiE9CdZe/jA9bNqRsdx6bh6p1gw8cjX5OwxGvctmW9QQKsILhPj+i76
HI7Cfk+hBgdqyJcxdGOFnSVutZ3X9HdxZty7qVr2e4zdSneb4A/YWTVoM07Uu9qa2/LexuOACN+H
zrAyHIwmhjbiCbRC6zNzzHEPhqXfckjIgqUor3PaXpgdHEpWoFrVj24HvL4dDwr8IbFQPlQTxcIQ
ZSXVp7HU7wZ3+vDv4vFl1Cc1sD/X/bBTds3rfwgDdK8/D/zk136zgoAf49TpaWSzvohi36wgLBCI
gr9bnr4Kf0RHpHnK4ziIGocT+tsVBB3NsvjYy5wRm+w/WUG4Cf68gpD7xhXt4pxklfthBfEKh1sH
h5ibfEho0/SbWqgH0JPmocR4lPqpXTzOKcK9A4bbhQ0epBY3nRFEd1wqtAp16cMEvDtzp/sBmPcc
QrPnqsXQSZK+6eejiLJ7Gov54oACtxIbZ2JITlNiIKaJypTe9ieJD1+wVhb4Tag58rDyetMW9/Rn
w406f/zyIEsSOa1c+rqRdPLFNTd9mrpA6RnXU1fzMkuWeZub8xpHAHzzpnogLtyDlIB9TuUxt61F
9eexY7QDH70BlJ4TZegkOb1p28BKxg82I4xUstVBVn2sUxitg528s+sJdKZj742JvLAks1Pt+M6O
zK3rVIsfwk6MJcXdoAdBl1z3Qbi7dmLxnU2cBbiPPswi/FAAg2f2UzNy6F4SyYkvTDiMgOOxyZQb
TbLkmwGLgRtVnyLVxIABcL4SFk5Z6c4I++7NDnWondn8mlRWeMS5QbespTO3iOw1zRLand46TWDS
TOonSM4rQdZwO47ZkaHZgBMSSzpOh6bjRjr4i+kkeDgdsclnQ4XROtFCybyNq+MCgENHgJlVdwqy
YmgosU+qIMyV2e8w8K2aNosxSNGeOqtJCJG1TY6YgfOt640d15theRqXIQ6ESuNg1uboUnYBlGXM
shfRDDoZUC6gQ1sUd22j1dfY1pO9qzXTqfYgjZKZFAfdxj66UkwzPYUjdOW1Iiaij0uuM8WDnzm5
ieLS4KbU+1JXbzPhEfNHzHlkyGUO2xDy4Hsl9aLPpouJuJCL9UiWmFyk63PbpWhcLumDXNzbhqpJ
VnuEP37qI/n46NSyG6hyW1Dq/tLIjSKUW4ajDhNGVbYRR24oJjuLKbeYGp0x/bLpsPvQpAosXG5I
pdyabLlJMQ9lZCY3LkduYeLLbqYn986v2xsbnZBbHkaw4Ql4uLu3aTVbxXJrJEoP3IbdcpLbJqBc
JC820n8X818Xc1a1P1/M/1u8fhLNHyzjfNVvyzi+DRm6tEBU6V/GLb8fBPG74iQlzgcl5LtzoPsL
R3cQIjhb5UrtfrOKu7/ommORcfnf4u/8k1Ucw85PqzhruIqxVbprGSX94GkVlbVk1hy2N2puPGR4
p/XWOhZme5tN2ExHaa+OgNUWmrmj9YE2F2nBRrEd/W7qEVdrenOcGQMDKfI7WPeLH1cOpg6zs1ft
opE1kW52j3+rdIR0DFTa3osanZU+v2+kORy1wV1pYjorNcbxoqRGi4+/Av6VeakjDeb5QOlU0431
RcV97nBGPDvDUp6IM8OQt/k0RiFUHl361lvOcK60stsxM4WlKR/iklISksrVSm3afY0BPnQho+Ot
YGsyize6wJ/oUVbgRls7gX1ekT76sG7J/eGsX6zoA2GjlKt3z2qP/b5s9ql20qQlP35tYMN70U4I
DKrjADe6lh5+B/9dUOZTFuhLW60rrP4QRyr8MM0nAL8HratGGt54Q2AI9i1BgVmhzGYu18py6skQ
QIh/b5EpEDJc4M342zzyBk2E4CcDCObgViis2k0m04eR2q+ZoPErMYAhdFHU7h0ZZiD4d6fLeINH
zmEi70Cqn3JUGYFItFjb6DIW0ToDAQkb+lUVim6dy/hEmI0amHb3pJOsmPvEXFlMA1K3JFjTkmCR
MYzaoM7dbbkR2B4921D5YEDL4EbUqZjZyHJEikhXLP3bWk3x9TgPpre8wpgrt8XMuB9SEgRKLxA6
PAJSn9SwkBoZ1UH3bXIkhsZ7WUiWeEaR+lmolVzGGQ/d06nECzctBClxs5jNx0SMYq8PypUH/NUT
DKvoGygPcaa9w9BybvAIAww30yAZjTfyQm+DM8+btpvIYLRuuHMm60PBRxSbtB77GdcGEgA9glvU
HgtXPcDkf6kW77jUBFwtEW/FqJzqmchqi3K+6aJQg+Ibjmxs7aVLFz4+w0MchR/q2HF3pUFJdqoU
9+FioBHp/XNtOPuspp7HteAZzKRLBBvcxm3LvR1Zj02sxgds0jbNhss9/+Z4qjlm+ST/BQ1yduN/
6UeGtkpMx5O/vImQiGqHdqCF5nOLYAxmndNLCxfl0Oo9WG4FI2Y8J/g/2hyT9dSKd5EaRrsyjptr
alsYZo06gMusbdy+eHJ1SLdRF1NJm2LP1UXCL6gqIWCk5GHobeHT3ul75oIkfFLEPxTXvbq46r52
472jhfnW5nvBCmLQYSc/pW7RXvGtLitRlzuzo6hPsYFREy1J047LXq5ofNKAtyhUxJB8jZ3AY6TU
mRotK/wfzI/XlNMdGdtHbUqPVtMfhDFfPLO5HxxcJ0tbbGMlzFZlQXlimWmXYeofE0HIjATetTD7
2ywan9xsOrcFbhqICqtswE1SiPSJivsD86/d3LYPUsJc1X0JYkcIA7MKNTNtvXbURmyKmYma3kzn
sDFus5Kx4cRUzNGrg848ajW3PcWC4fsk0m5MkV6UobpyEgTrNrQfwtBi78+Wd3mMF9qsXTjxafGe
KQWOdNJN9CZUDyI2jxMUFTltmZhoEB14MvrU2iVfWqIAFuvrWNDQLsMt/27hX7ZwHbH+z7fwM2ON
jz/v4PKLvu7gwA2BXQGdxodBXtXij367iKHyWA7GDCLyX2plfpNyTI0vcphFWAzOpJD/2z2MPyG5
z7jGYIv/svP/kx38yzXru5AqN0H8nVwSsXhyTfxB6KtFbXZunMbXmufE3YFfURKqBG401u4Gc6AS
Kss6qyjVwKjMNcZjnO+YYTAjQ3M0Vwutux9tLfI+09K0axQIUK8MMFN1PY5lrhyRotrwoOFm1tYR
8jAgoKyEREfWIMa6p2GfQ6ldrCXHP08nORNNp3Skc3u2oav0HegODMRz7xB5BZoV78hbQOrMU4tr
z4QxYFdHjZf6pWxUsusxb24iUxZ29sY8OuvIVQVLoWsH6tL1ypuFa3v776P/5dFXOc39+aMfvOX/
uXBhe/v58Zdf+PXx141fuLKSt+YY+kXM/ObxNwlYgawmQ/E/SudXJdMkr6ViHcCUzIdA5SH59vmH
fif9QtAq0DB0/Z88/3yOvhkcWJBfNWLiHlorIqYJKpc//2Zw0IV92uZLqV9LTPhqlpycKPONYV5/
85P5g2n4r5+j3z9nvBPQpfLMTSQd5ozl/PBCCpW3ZFKykRIbClw7+ujNtbXQUJhQ2C30CBrGiMFI
68SNN/enOqseHR3bX8VBwx/BzK2zRsuOQ2N50K9gYRsz3QyKRX1BODbvxraqfLhfSHgyTBW3+X3F
C4JqyK9CZYKlOWDQ8OTUgUutvG+QAyKo4x7rYvI9YmQ+XX9LwACTABLNZqE9bHTT6oIexmfQ4kuq
HPNZcZ2zZ/ZwMjTjXYyXlpGhdY/z7E4pKF9ULCyQzH9V2VEDQGFP4fxlDIuIG7D2SMtrvlJxCwa6
7JDth+6W3vrNaPbPntu86ZHzPipmWEpkNrPeoaB4Tq5WEx5tp0g2sF53eKKbbRs3/Iaa5lHY0S5x
zcjP4/hIeO9DOcbZZijUiksvzKlcTBXIJZkIIo660fAFw/uR2gPdiS5r15wD36uMAH/3+96hq6SN
zmIq+hWupTun7rdoYTvyzwqxs7bgGzVw/XQlwTTduldwoPt4JJlteu+9jhyyMQV9jcbS9ma24oEI
XBq6+f2lWxLIn90ZbZtWhbMyMEvkIkJElHoDzZkvOk2YEwUnWNm1ZJNp+bXO43TDyHu7FOY5isJo
1Wnm1hv42cYj1mZwG0NQ1fQTEixjk78T5TIHxtI+JTaHzIgy+ZXR0fAx9nvNygbcOupHGkfhc4/z
U54k1nYylht94pTYxulAvUjzScv1TzrYOT+btJ3IvT3XSM3PxnFLPPC2yNwAD7h9cgyMCnZeflzS
6l3stDG8OvFAjXMamLUDuK43to4z+roRbkj/eMx3i4mTqznGa6xu9WtJiUizWVylm6GfYHTT1ClL
cAboTdTuzLEuA9UZN5o7yqgPaDvMexybZrrQQtK/pvFpVL19YlGyuhAGB2NWDU8ZnVwEkkYNWpyV
ALTtgQEGWYpviDSzRravk1F3t36ljPxOy5Q38JfZCpjiLb2MMoI2oCa2HcfkMRBjhluhsPBIj8PJ
bej2VtAHKQQh/YPRQ04Jxhc7dVrwdtU5SjDlttVEATppY7M9Vfirhq7djWP3bgm5o07sT0OqUp8g
qN/iI2uUGSYT65gryn7JyQ7GURyvl2km5Tkkn+xxLsC+pcZq6rW7uLO3k+jeMmrKgZ0QyLIrSmrW
3GX3sdkcs44Btu28TiDwFmvOfCef29VM05V5P4wt0bj+UImI8kOg/SXkGJwXJB/Njmi0sR4NczfQ
vNhoMTHEpRq2hsOIXtUIZ0aD+b408bRNYgxCpWlW5lhte4zbsxhfYGES0pvNp65T3TMQGrN+kOJe
5MLSw1RfwPP6m2X0e7lBrqJsFyY1wRbDLdikP8x527Y1zHC25yvNss7K3IaH6V6c92m3Ul7LZ9pl
99wdV+GRKm0yEVtj/9evL9WM7xdxXt5z2Hdwx8IL/2Gyiy+QobvdL9fBea3CvadStDu9VyDU/fPX
0VUNeyzlEab6I2uLrAfFYNOwXKkHi1GA8/zNi/ace/7mdb7f/X79cfLzZA/UoLByv/1+96vhLFi9
xpjato6NfVMZeF3N579+L18w8z/+0L59Mz+8SB+raqvDTb4Om/aJC/J62Kmf3EAqEOeCZ2x116yJ
92703ePFDfLVZTgnm6d2Ha5v08O42iFNn7qAvxhQUxaI9dNff38yFPXTL1XOMB0wcBzPf+S/5/2y
0Emvalcy0JfwFrvAWXuODjr4Br8P5tXhRdtO/qXejDvL8otjvDJuMQ1sYF37X76V/+8DcVot+Zn/
+UFynf8nEA1S6B8cJPnCrwdJ7lHyoqI6hsnO+f1AizsRv0IuSrqNEin1zq8DLe8XGWzj5Kmb8hgp
IT1fR+KSBKRz+yHFRubsH+J+UGS/e44k7kea2WlkAncmB/A/POd1FGJ71gakUFM8jVILGRBFFI6+
lNK1zVVZpGLCZvnOMqvOh7VIr5SjOIgbxOtbZSgPS0QsP1tYo1WkGLgeTtCkLsMnTddIfZFkL5KF
6xmoUtiVvVjXoYetSWo8KWJPL1UfY3JjhlvOo4cgxK5SbuwFkc9BLGJBiHYN8hH1ns8h43sy6tV9
I2JEOCXxdppKHxLi02SoR2LaF0GFH9R69Cm1SbUN7uZqVSFe5WOynaWaJZC1QMK8hJ1+6OyqPcYI
X+oQ5ZuotqlTGdFCbOQxm8HZrpOKWTNZ88YT05st7DfH9dKA9DZdzAht3mS8K3VRHqqekBYUrld9
iG9jqc7xbX70yuImswj6GoNDF5ctxNOUzsi2qrbNSN9sLTjrhHFxlBJaDcGXLFbxZkN2nSSTXeTV
1oTSDsf0brSzaMcUzMWTb1FoNi6E7xKFkJky3dAvB1E30p8SCPAgSpGfdU2QPqd0uaxGIvQQ4/F+
7w27e19IlHxtAJWHgHqzSMy8q85Pbk5W/Dq1jHKqbiKelbMleqdYqT5j8rYQbKBat2lv+mIi0Gwu
+bQtEsxedZJ6+wpu662R6Y/EblHO5lrd6QSRKCgxXhaVrj2AqF7/0Nt5dOnASh8WtWg8wvPZrrLE
ekzVOw3YDIcMF9kc6tAqU5MnSSMiX0HdpoF1NDAi6vIquwLOK6hyVRRxxVAbkpqLtljSHxwFzXpM
0Zt7Lka5DWS05EfMeDNMp2dAuJ8coziFChVk5Mbo/2m6YuUo/8femS1Haqxd+4pwkMz8hzVQg6Qq
zdMJIaklxmSGBK7+f2h/3R62vXf43BE+sLstlVQFSeZ613pW/0Y+DuaMZb5oRv7K9ppQXeTuJt8C
XByne0OHZeSW7Ya8AlZzs0Dx9oIJrzq5NDTv7NIJ3SvRo0J4EwDcufjS89KjX95zVo49EcbOIns1
aOmHcLRnUh9gmMbbPO4up0G7B3H12vG45JBAqIw0Uj02JyJoD2ORXkxK8mmFxmMkzWIdN+F9OBJm
SnmHKiOyArNi35p5/omWt5fQVQ+ODiY3j/IUCZQttZvo7zTl3qomPUUVcMFwmRa4w1kJ69ac+F1k
mNw0MKux9qxxgh4jdPreUReVZtO51z0ux5WosAFN2Oc4mfdmI6mTQ1gl6/hMFaq3SyNNAh8kPc0y
h/5Sa8yYlzR8OOIwHpLmuWnl0fSHq8w0DrE+P/YF5IZBI9xZm+pQNXRZccHCsNDyW0AP75UpSYVn
OYw8x9sZXWpuiW57dLuW7ZbJuwxKf97PFobbtJLpoXCr9dii5BqQLJYVl1VKlNsMX3TZcwIxMOIE
PZ2RkY6GLfR6r/MWsCbdmJNzlfb+BxYkri3XeTAcC6hgndICDphgoBVtUy5LXBPPNDzod4ZfBLkb
w6OqWrlqoYr4ws73EoiTyDugXLLDYsz11s/RndCtd1fiXcfsf4UjKNxFkaYFnN9vhQsbpI7oN50M
993AkrQVRU4/hFNtJ1OjQjgxLMwzU5ARfm+6mdqqmjBq0oj7IhmKVS/c5KOKtZNTDsMWJwslFMmT
iodz48d7sN9fM1vgbQenDKqEDuWjptM2aW0iOZyb5ZMEnxJdzQb4x84Zyi32iwvba+79RZptFpF2
nsvXck58+GCDie9pfiZpPK5ctF3IjPV67hvayPJTjPpLFPp1RA0WiyxsFs0xpy+eGs5823f2DSrw
Ve8T6nEWUTlFXfZQmXWNAXuzCM+2whgPo+reRJNOQlwVaNTpIlZnRL35aeZnf9Gx6+lR2uqmUuk1
1wNvAoq3RPmebQbx3cInGfRi1y/y+Oh3dwV6uXDao45+bunjQ0Fnb4iu7qCvV7DAMQ9wVy/Su5s7
HMsWOd53mEMni0Rf6Mj4rLEbKpb3BSp+s8j5Lro+6V/qPBap315Ef5R/5H9qaOdlIKBl6lB8HxEs
wwIYNsYB8kSy8ZdRQrkMFTIdQzxWJbEY1wPQOemvm+R/d2U6O5S/35UF4CqKv9qS8VU/t2T07JAE
9NDj/hwuBM5IiQTCtu6Q8EPD/m1L5v7Cf7v4kr7Ld993az+2ZDYGRrRoF1EcwQzn4z/R9lx3Ea9/
O3qwJfMxK/kMyF0BWsA2/3RczCQ8mrEL3VNI03PU1UNx1SljctapHKoKHmzSzztPte1axjIaH0t/
8d6V9IkCWUrjl9Fs72RcT5u4xR6vun6HO2PDORxlQie8VQr4pqWfvpuA7LhRKUEl2Y9FfLZPMKc6
dBIN7ry8hbD0RJ+tyG46EEd30G/2vhqZaYdLz3DLCDbR6J4uPAjfQw3NR4teJvKz12EYJ851nE/u
tV14iC2WYhCIH53a241NSLm4d1zNDELWKbVtSQd251pr4+Sx50E8MI9VT5nhx/CksnKfxFQ98Ahu
rlRqHVVv39oRXPLQLR71eUl2A0kp4+rDWACQuDsxDuHWbEiaYDR7j4uU0lPNOjm9AdNxfOxjSg9M
NoTaoG00yRIQLdxDq6oECThmwG3hWlthxU9g9jx0ogwSnX2XeepMTzlkeC35Rsj0XvbWp24RjGol
b4rtdTeuiQ8+gju4V3x/ivKq7HUyI56TgND1GY2mXqQ2mXv3dS6MoCyIbRdmp63G1NgTbqbCY2g2
UiUHMwZUbkNch2PDDKEl4L010jpn4ZiOZmXchEYv1wxXMcxYxr7MEJoMj1SgP43GYRqWho5e/6aX
/sbrW7nWQjuEKdjuZOG/RXF5QTz6ojV9AocesBxz9u/cEGaMT7Z6DLVvtj8HuT4e6Dk6RQ3wCXBZ
m6qZnT2Udew/YfXVlSgzJO2pXtDkh4p9LPwTndC+TcGyP8BBXrb+XF43liBdT5zr1Nmpxr4xvM59
ZNSICWsUi9uw0jiz8kQlgtnYUOuHdkFqUUZQPvcpsaAy6o4dn2DX9gE+0WQ32qBEHb0G4FBYBzlM
57G2n0Tbnfwuuae7Plsnevsoo/g2XqgTld7vRORoBxZtczXEze3khvfwfm7muucWgRmwwcMarfyE
PIdowus+nPdTHmpY2LSPptbijW5V2W6yeUjNws/xs2JXi+wWSxuRBWFN85Eo+jmdyikoPVutq76g
BhxMMTMjdQmW8xt+W/LnHvHRNrly0gqnG4ElHKoLbyPPKbGi/pwbYGOJ9K3RKxVMfnf2G+t50GLq
vrmyVukknXXcm19yIo7IhOu2n6t1B5V/Xhy0rjsSIytIUXXZ8GDQb7fXLK5OMoUKr1/ymU/GzMPR
fbaVfWegYR6GEt5C3hgHjonmBgI3xGd4YQ7D2rUuLStQdXpOIoeWr+xW5sMpirm2adbE75Jm20T6
10ZU1IGTc54ALYEy3YzTqi6ceyXwDeqN/hUa1qtu5h+6aR9qZfKcjzrOE5rxabXaY0tCZi2lfJQ0
h2wNv7+bJuKLiSNfysmijb2cbCJXU4w32rVG58ZMvcrdAE+Z1lNcvwNJwU9hk9Jc7CS9TZsOLcrb
OeN0NczvjWm81GSo9r5eMBDw3eu5H4qN19EybjXwvhyLPTBObAgEYXvQ3e4uLjqAQDQm03ReTqve
pQMHkttr5Vh3nVywybGHD6EP1aYh+0tipSowKOinAWToFlX3c5gnf1PY7CxTY9gMYenus6zw6USz
8pXfAymQ0AdwDKkPpHW5Fi2lYHqo7FMy2gnNofXIyMOIN6ZR3yrqco+TByhWzABGkmLkc0rwYJjT
JrFTwtBpXF1JVx0mGb5SGz9upAYrw3DJfo4mVytNRB8OE0oQcem8tQsSjJY57Z2iqQ9lZQUZwbVN
7Dp54Hkc/FgP512R1q+NZwdFo4FkAmPBlv0m1hIHO0hCphuqw4oRAhVIWlEuh5zwximMKnBrcagj
8xI3KChcmXo7zsn4hEAMrsNhmo5x3y+pPJjmVWcejcqEWlvBHM3GqNjHRQEBQkk+GzVpAdgNDPJs
7lcRkbqV3Q0HUxLDpiZ5xoA5XES5fwz9+UJLZrnxBOebMJtvGhluYADeeZrrXM4tJ724B7HL/v+6
6uP7wmDwkNHcEGDBSVZ9rDXUj3cfTo1XlxSWtxs9BliTwEyLLYRMTh5fdwnztnDWNxmQcVrL5wuz
Cy8xFm2yGpkQg+fWTGt9Y6BRrBK3Ofl2+uFBRc7bEEHCBY1Dy5ONK8vGxeFNWyyPyM5zzXxJV4+i
z97KTLvOm+Quw0VEmk13tmkDDKexqs98dr8iqVtBx2h60yQW3xKg3Ebl+ktF9fVq6IkC+j3EXqEP
G1U39MQTAKXnR9+nYxo91nGOGSh8cThMrQxuXTeXX43sXmxToxyvO1XfpyGd/AiBKGyFz2jCl/lj
X3rM+kiirQxNu5n1St9oeXIlMNRiHsouctw666VIyNYGFjAhPkdm6m4fXnrhJMHFTEfgdkB5Mg0e
R/EkJ+g5hcHYe5IS15K15gM91q24sHP5Tau8LzVyfHRQUIqaxtE2/WT4F7R92e1at9q2FX+rSu1R
T/XLObqQpNCa3gVgm735ffoetyy+A17rtHEPMBSXq8aL1q3THOdWcXLL+HgkJ/UU6WecuZ6T0OBY
bFifJv2GxPPcO4D9/M8s4IMEDtbkYmVRPQca2kt27Nxe2YEdkpHsBzsdZlbOcbbB70A8Oju1twp9
9SRMvnk1UiESphcZqtXOlN2HFeEQc6G8VMBkdVcC1C0ehckDz6e3y44FFmjPPDFZemiU4jjaUo2n
VfV1lfiXRECYojr1ba81CnXOFkwF5Q4QG+dSg8IxoeSK04W3wiUcBdAj0X5mBnxwuO/kUPOrecWw
jdl3wh1I8D8DXCms5uCa8VFN6Vcs7CSIlHeeRLor513rY+WjO2oqNmK8JPN6H+dLAYJlyTVj8F2a
LlAol42MOb+bngocFb17TnJpGdTIayGwpLaq33CYAcgzVGrzIB6aC26f+2hCVuP89igqF1QDHu62
2Xp7M8r3BsjKocs2oWdWN4XTSHxeReJAALZsoT3FhKMBFGC2bo7M/JRE91KDNwRlPmjTzcSnU+h2
om2skOlRNLsKsIGfQbBCBRgzCrA4c+5mP+JAX2qB5qbVpsg0FSRWuaE/qt+EQ/kMFG7eFh4V0cMU
iW1upA9mU9wpyyEDYwINTJsnKyG3A/aG3zTpAiBhh9i13sjtXI+Jb69iFwBTnHRgmVzukCwjpWyr
QVAEVo48TgjGZDoPtpZHGp/f8tmxN+/9CTt5TC0a5ZJ5ZW3Gzj0NXXL2e/dySSWsijZ9E/60aX3r
ktgRu5uyeufZAqg0B3hUeA9tkljHrtc/53AodnOqgxQfvL019NcQiwghxfNu5CixYl+jNk5YfGuU
3FOJq61tvZyDunUurTq/NWjCgqwxrG1Zqj3r7qWvGJNONg87MJj7niwnzzdeEKfkOrPylognY9t2
dmg2SHeVwW7XF9lrVidrKz5nlDmlZHjVSLKhwRDme8NJwzaORNmdpZ1+A7nKyERAmZ8I8UX6idxr
kBfDyTLODlKdNtfUNGjRcdDLp0xFhy5OXjq3e6h84q/prG+9Zjc67h1T0TX73tNUG69JRaCoJeRu
yugwT+58SPv8lR/wIV6O9i57wW1MQ98Fq8KrJcvhSc7QM8o6vQBGRVp+SEv87/OVGiYo3454rgad
uWV2g1noLas8rIdtx5VA05hdXiZm/CQVGui/Y5Zf/Tqcb//+QL/LP4viL0YsfNGP87whfvFsoji4
yyzqEZY5yk+rmvHLEo7nHwwzBjOY387zzGV0Yoc/Zyy/eXVMn1IZ2tUX+xsTRoa2/+Q8Lxy+0x/P
87jlmNXwPT06M5dv9we3DoWQLnYxzz8bsgF7Y4u5IqtTRsWNqUEM2NqxbMNXNMvmhqxPAbptSIr1
PPiXTupfNoWf8bjI3jOExonNwmB0UTBZFsoSOd2RbLU5H4rRrLf94N9wTP0C1pms3QZfcG/sNEia
UUvfm13vqFPbeZA2CW3vtSR/txvQrm5aXkapuskWOKfTNQBQnL2rU7bKcRfkmFoDeNXQw6YdnqST
wQ4oMcgQqQX+2evTflpwoIUm3ulnW43Ydg8NnXUV5NC5UR+sh1ee3+T2wqh1Xnyc1t0CHEX0/wRm
tMkWFGlKBInVEDwpZrsAS0CxNgaxryGYDgvKVC1Q08zUmi3d4MVBNz1+W/JUm7acn1AMrrwFjaoW
SGqz4FINJIHYAkZsAk9sFqSqaCLK3KCsetBWmVFRRbcAWIlQvkiIrESj2PWX53FBtWoytAO54FvB
VR/UAnT1E3gQAnfFRlfWAG4V8CvddeaGs6+EJ+Fjn5hupJ0dWhogVrGRfpsknDx9Qck2ZchwBUeC
GU1vhdFjmhbiqzO0o4BDS8TmEo8goNwFUTt8h9Uu2FoK5FMCUZzOR5i2M2xbqRXqmc/zorNfZ+lc
WdQpQ7KHiZoesULfqQWS2yhgRBtMCHV8qRlAa7ZFsmABqjwvY3jzXebXp5Eg/yFvyZ5TOhzvEs/D
kiKj2r8yXC0+ulk57HColwfel0rfWjqGdrqF/buQWKW/zidBiVtdIgcM9mTtkO+tfJP3Y7QTQN2Y
2xUNzBGgUE9e6Xh7wgX687/L4fflUGDP+PvlcN9LMNLfuv9cEZev+7kimr8sCibEVEbP+ANYcX6u
iBYNXLaw0fbIWQKW/7kiYtFdUjmAb0xG39/hqD+GztaCYRWGhRXwhy76D3LYfx45W1DaPMzFgvA4
6aA/22G6HhSwW9rquteP9DKl023Z7n73plz/Kpb+vsHuVwvkbyLqYhLRIbRZPrkYYylAx7/8e4uk
YK6QpllbXZsKo2C7suwWa1BsGoV5HetEJBYj25jdzGXieKc4jt1nVggju/F0e1rHuhwN8nQVoJ3y
UMfjZRLmW8dMtnNCf1Y/m+tpyq9DW9vkpXaYWh/GcXnX6bikphi4ae3ejkm7J/1M1lCOQZF0YmNb
9VGrKOX2svd8oiMRCnlfVQdozM/MVtnOJ/E56tqtZ+QHN8YvLMbmi7PNrsoTBcDMcndJbfVrDZPS
qrPVvh7YY8L6eSBzUZvtml/vOXL0gw4lBcppdaQC/RODMuC20WIoKz9DGheZ3VdkiPQRtEbbBFXe
w/dx1cYrlmGMMlicXf19Kek0LRCswiruBxEdQ8N4aEbubiPpnjI5tet4Uh+tYx0nqymCOq2uinhU
G792TdKhob0Oy+auSeCRuxYpG5hoVzLCJtC15k2u/IhnXP+spSYpR3fc8vyGWW50X4QHUF8So1y5
dYnF1bpwFSXBFY0xqzyr072jj6xncInWY9oX26QymOgNXoaGOz8JWaKeIpyWvXZrK43xppHfK+lD
YfOyF42+4ZWhqoNPFPeUd0qsGUEf4ZMSlRK1tRJedBl1H2ZaBj5Z20QqY22NNSe0vHgKZwj/YU1R
bxmJY+P1zaYb3N3s2h9VwuBRTc1F71ofXitjmkmTL0+yfY4sb97UnX+Pv+DLSuj+rZPPpEYkFG26
jw1iRoKkbBnJ68Fo30WaQsOzkIXxtB7yJEMRHLog8RZzgolVzWo7tbU03V/bRX/NUO0Bqhw49Lw7
xGbcLNr1XTR29aZ0o35dhIxOLdBTA0/AeVmdfS+9M8yl9og85ugPT5nOjj2ZnK809V9tAWUqVpjr
zDGjg4Tm1KtCwtGM0qRas648RFN9V1h2RdrIpG3bhRFaQgMU4/g6pDlXj6rpoFG8H647v2ROiNGS
5/eQFp8WRQzB0OgPWZRzTqEdZdQWMkHUoV9pX53mvUDTZ56WxWvXFEwlxpBBLyR5pzS2nTllh+q7
RU9ZTR3uK94NH69vfW9Hal6xr+Aq9/PsIdNN/2DP1FY6prqva4NnUPWJ2f6QLJjQvKy+ia5Glkak
YjyJmpap7oKa0PTJsjpQ5mGOYvBY+NtxN8VTeikJsiWadtv0qb/sNGhb3YSyoc2HZiPNpaav8aty
3eZUsSLprCOzwv5oXlmtLdmLaezD2nXFvbn06Jza0n2OPfsz0cd6xbJWo4qLQOYVbRSAfjzrbSEP
qi6hpKh/iXoLpPts3jaF2JIlvC2FeVAQ0ADLbxwtejQy56X1bCY7+oWvCCu4ZOtkfDW3XTAjcBOp
+cZhje5nN91kbZdt4aWvM0KKbtuQRkLla6rh5LrltqmznHHAvGFKopgScUxPPQ2tVjtPXfMoEz/b
hkb72RKUMurxSWs/7Z4rcXDcwLQoaliHhcrxeoSKTWzaT5q21YfJfXQB+e3qujHWaUTDku1VXXXK
TPNZlhbtPTNpo6GISFWnrFurrLQq4JM0dey6id5AL2df5pnyMavbgFTks1L5I3SOF0wk5o3e2/M1
D7w6aPL6rTZgvDbmtzH0zvVMXCr3owXVjwUJzW+T1KCdtDRPAjlL/96S3nQVyfguiaJ3pg3aWmV0
HDccFNlsQl0LC3Rmq4tfCki7morvkwSotG9qx35on3tRzsiMVImHi9u24uejAoBnz9rPWAN6LXc2
LRGUs9Z52r2TItlOk6+WTnaO0Y3VPoV+22+szpV77mZvU+fdxnKGYT+ITu1Qpsq1Kctpp2imZbdX
+bi5UeyR4Gzqtn2xZy97TUL+lg7G5XC6S4dlg6qFRASZIc2OuGer/dyI8S6yG+eAE/65XLptrWgO
T//9scvm4Xcnne8PXQzI5LEczjoujXV/fOjSc12RMaj769KjZkicU+/e4ae2OS2k/8uh+cddxPJa
nPRg/AiCGC7D1+XU9bsMRNuWY2eoVl17AMWzx3oKYu1/mCz/10ssf/+7l1B5neeqz9V1xY1JVpWu
8Veruvvv79lfvojPQdNlb0Wc6U8v0sYADdJCqWuzua/Ly1EjQXf47y/xnx8Lb9XvXmIxCP/u9+hQ
cCNhjeragupeB7MEfK3OhfuWTv/jlThq/+kC+OMrLT/J714pjwdbOnSIXdfTvBIFoyrj2EuEk+0g
j7Ocf9VEPsb/F32Wf7HN+09ns/DI2SyIIIghTPT/+HLQoMe56YTiBPQsOmwpzn0UX0zy37OG+PWs
8V+D/gdZfTbJW/4XZ43fRf0FB4rF1o7H6bvCwn3446whHLgsWFtZDL5XU/JVPwyuHFBM09WXGD73
7h/6q4xfHNytMLVRbn6NXv2Ds8ZfAD1N27INUoKsSsux40/rBPBMEE9aPV2NJhP+QGQ6caDKJW/0
pc8QDtlqkcrm6W4yjZ33pZNlqmC7nLKCOVZ2GxpopB4Wqn0jBnei1sj4iMBcrEs/fCPcdJeFmQSI
TsClnh0jMG2a3jlItVel43zFlccTV0IcoVQ7ocW3N7dumzTbzlEgi6WwL8G/y4NW5B3bfWaEoDQd
HBNpGjWnSheMq5H+mVtnF9iSik1bqSkgTgW2vgYynxMcWpNTYhKPa+RkDdMxsykiKLvwQiZ5FmSa
j6KKuOSxt3YApAM+CEbfZbLY8Riu2eOtReZWm3rkiUiRAzkWS3vJWb0rZyyObtzfCyfW2eygj6PD
V7T5TtqpSZ0PopKYP0tX7GCufM1p+orYjiXOGoQ80MgQ0gmcTg/MmEKGwvFV1JooCnH62UWz8cK2
l/k7jhC6cvN647Y5Xj7UA8AGfuFf4A0UW0fp2tGqRv3STopul5BhWkVN71w2rnvjUXh4x0nooOLp
XqsIPZdWAbrfK29ch2EhuSvaPnUL9E7JKW7OmHtYukKjmjLtUsQ91s+pie2XoYowOuhmdtGFk+h2
FCtNbJPnpnGac8xnN9D5lVxNgj37SotEyKA+5Tv5a8/XunPl+TVuD5QT+1B1k3GvGX2eHKjmmo/N
UPjnBA8h27zZYyBBwNsMzz6zCWYDmf81CD+7NLBpiEjOd+BvxLj5vvr/6wRbZI2/V0oOxfQXPrDl
a36oJMIGMo9Agu3dc/8DMk/4E+s9CHb3e4fez5ULJJ2DzAxww+SZg6D7mzXf/sX10Bv+j3nyj3Xj
P8aGSJHS+AuRcdGNebzZ5p8epmacVyIa3O4kMwcud5knm7GUnCVvyH3NjN4SPw5nB/zsoMdYCodM
bW3RGQKLoTEVam1NiZlf1B5dKmes3TbjKq9XdoO5eXRqSpvsPDZ3ZCxxnK0sK09a5vthCoRYC/2y
eJ0bp7eu3b73m2LjUlVFTt+2FW0VQqvT9g1UdDPPWEdpkmUkB47WbzmIx80ubSv/Kq71+BCNDVV1
SlkPdVlhU8afWfclzX1WliIt1Gq4gAYxBZi3ipObZ/2tcDL1rhe2XeGgj6P3wWrGIG91eQmkouQo
W4anVLOtADd1jMlIEMfxlDndCNcAK9KX6iorXHUSmEc3DUalkoz3AqEwmjeapNp13jGfhJlt40S2
0+4ePCrzzLiwP+jp8XdDnCsUABKqGF93uWaZt96sQz1YnFx5r48WPgPUYLvrsAc5+nRqCBoEGZnc
wKoEY7W2xWGP/GK+8zF1+zrUsXeKikiqDz7+1Zyr+Tqe55R+W6M33jPOiBd93UaHCen22bRbkw5P
A7dBxcFl9mR/7vvsg7e0ONT0e9+JlqabdUoU+cpSWDFsIDOnSWYR2Hk7OdlJ2+58qtu26ex7p7nm
pCBrsLn+JBvArtH0wRgzv8Rx2z72suyD1k8LshyJcQWrNMdaFbcZ5qMQWQW+/Q2CgBaw9rXXZgIW
lslieYE5Ybho2+zIjH8moqh5QW1P45ey4nzvVTI6jmVi8bOlrnaVhI5OZrgleltOOJ26jiW8nrxi
V0W4nyyiDKvRhhG7mg0/POaN5jwiazwR5TAuDc2rzvz4YaBlBEvb0sAE0TT6eZpjYpaeSg9Rwly7
JCDAcbuabuPGU5uhVfV2SvpxGw1zGLTkTaJ/V9b/2xeilv79ynrx2fzFRG7BQ/9cWanvEA6xNMfF
TLBUkP7cE+KwJbgu2JLp7Mccl/X4x56Q5fO7KCx0aNOOu+jCPxy2FisrxtzfQKD/ZCLnLtrvb9rw
YrDlfApulw0PYUVk4j8eG1xRRbqI5+7ktuB2MuIJBCKWXge3tvydO3hvbRipAGoS4V/4lJZ2lK3X
4+hyEyN9SQycX+c4LPv6wAgGunHap0rfEpfoXXA9TaOuC1WdKjNL7rFq4DiPzdnF8z63bFri9NWk
2ONmKqZoV+kh63XEeTykymhZ4g1rpn3x+9VaU6jRH6xQk6QfROfm7YsEuowkM2Ktx/Vh9k6btIFR
jIk4Sglt6S6a2dygEtP3s+2ILEMSihjYudhLxqFzNrCc0p2WTfVW1RR9DZkjtmqs6RKDqvQIga4X
+8yfnHlrtv0UwR31aQ/Ke3wn7JoXrAZVFBo2uWp2rvqJ0qhNZZTOXeI4zYK7qvChMPHcATfOurvM
zMn4wNzMz6PhxMaudvnvKQLFMyvLB31I/iFtVmNcugc8saa+/Xfz8/3otgw0/v4Wve9B3cni8z+P
bsvX/bxNfe5Fzmec38R3HNsfblOHwREgC8NiH7IEEH/cpt5ydGNjJEDDLrMlBIsftym3PX/AreoL
Rp7cYv/kNnXsRfr47T5F4tFJEbNICIbxzPD9P9EnxGBjKS+lPJPtAI3FHmUgIDZmoAGJ4wcDpgDo
k/kVl1cWgBXd6zxMEqwkca8dihyRThk3hcBcbIojrIm3rCch1S4mme5qnMVlRA/AHMOIyfCYrmM3
emmn/GYIw2wLCpg+AYdA1GLUCVG21jOxuQs5QVPMs7hliNIVT6UZX/ToK5eFKa8hZSCug7lYza62
bvzsHb9fYIbiOh7LM0NSrnc/fVZiwH9fOGfPrvuN0VPjkAmVnHun/EZAEL/aGMOrwo65TgYy/fZE
n3LnHoAX35vT+DlZ8xWBrvc8bO/VRNlMmke70ukvHOTSVTk4Z7t0jzkdqrha7QdY+pu57F5V7ATt
0IBNYPe2Ur53DebgIpcle8PsRG4/qDQRrntbJXAZQcOJRnvyJTidcqZG104v4wYr5FwhUNO8dSiW
KKhEUQ1iYGgB4MjXEUebTSOR1WP2ruob7HSBzIgXuOLs2n7Qm+MtbgHs7inBg0a8mQLuZq490076
RNY1gD9KcGxQ9t7M5Xsy9Q+VhitZImKzFUlP08BbV2f9DQUbI+EARz7W1oHWH28xmON3M2sXh7Lu
BaFi9yJtkH1TP9yh4G/59yRInDbfdHXx2PNjhDXkvizRQMspvMIJBrHGE+tSny7qgc8hTdH8Uh3H
djl5Oj0E5m3ilRdKhd+sGrgfa969VTq3Gs6TtdY5l74sQwzIbgwPEKdG0sS3mh0e2GRalwQW2YTW
6T29uR+eThViKG9knH0DbvAY+UikqCyU0fNL7atQ4OSnnpE96BitXQNZwWJ3lLghgJAkCyoqcGYf
xXjOdro17DODNuWiH6et0fafHntnNOTFfO1Wz2Upt76o8svY5t1eaNXrqJzVqhhFC4KVwT+AFEBk
tNcSY/KrK3rgHuoZ5aPqwcXqLM9lAqksoTVmI/uCWuCmvNBLdpBsvQMipM+J416iwtwWQ4nxJPHJ
G4h5JmtAAXERNirwp4Ir0zReq6K+8wY+eJtIymTPJ70Pv4WDJjbmYN/6lXfbq5D4BDNDEYYHN9O8
lc1Fv4I6HoxUrKwbgaMC8gxau8IGmdbNsNbm6S0CJLK2Ww2yCu/oClQ2TTx0X2UOz3D8wyKXmOgc
fZfMhtxCH9HYk8dEt4ZofuOB+NYNqIfjcJ/lAg6Hd50ZBtGAaLbWzMKYpibaI9tc4N+5u2XzEMTT
4Bxp91CrSuBmB7JAfkPD4BHK6ciWfltWlQXDCQawoVmfxthS9ahdjXrHyNKDeqhP8xtHjP1Udfaa
kk58ji5TSPhP7mpqYHsbtbrD1V2SlcYPHxqRD5/E4ecZyBOqniuQP/8ycuz2k71gY3Ek4uzUbmu8
f63kkrAcmRxL132omvrUIs+uyC99VpV+dnE8tunorAi8WhBDcHE6Aku2PjeXodB3Y2HxafOOX9QF
v3RWcDWR1H6xJCWIpcYaHCUeY5+BcSqIln3IkWIPguatdpJy57M0Whl6ktlr6zi2rmDGntucUmp2
Y96Gc+mdSqVaRVZ5Xbf6Lm2s+2pmrSw53US1QUbba1bUFb1FUXWE/300+OVI4WFlZJrwoDmzWFNK
VMPWhPfd2FzUWRu+DM780nT1LVGBaB/lGgNCAcmWBW5ldf1d5WGwbaDK9qZWbrzF26Rw45LYbN6X
SpOJVb6M/TML3S6qY7kyrPZ+CtVjZnRPTe2B1Mz6J4iO+l4Y9BuhIMRU7KTDJvFo00E0wsQZ1RM9
a+ahadO7wjEpTv//7J1Jc9zGukR/ERxAYShg2+i52WxSFCdtECRFYp5n/Pp3inqyZV/fG+G9dw5L
TbbIRg35ZZ7sS+CSxvOYTjjms2RrZ5BV8KRSJl85VLqJh8G5HdvjEjyN8cmKzFu898B4nAcQivcx
syXHQP1yivJaVCVjxMxocWc57wYLPXga72aImQ3XlhbsNXvGfuMs8YaJGfx1yyIZNl61VfZl8ATY
x4zlN543y2zckU84RSVKfRz2j7KbgVzW3bHurgeHQKjdE8+RDBNnM8bl4MU7UTdY9ZuYZsxll2X0
HBV02W4XrTl7s9S2A9WhW2RFpk6GSbd6RfiZtNdmrMKj7bkaE1U3Yi5Qhl69mntTUC9fvpPais5j
AWYa80Ruy8ekzMdd08VM/Lqa+R2ojxg2FL9nOeM4Ct2OFhbc7axfx6BbvIthNuVFXzS6nNvOOlCs
dp01keu+9NY875YJnRMdlhKlwUm2Xh1uc9s4iwq1rqiPDhVMlHBgHOu0Za1B6nmIZcUKMeDjIp6y
j2rr2rJaxY3U382ZcugZOOoMEpQINwERbZ27ci1SnX8677E1jXKdTtkbjUjFyg6jndATAdbQZHkI
nadoygfQ/aTTxjra1EZbIh0uW2eg38iVzinkh129dvrRsIIvtHftNW0U13EjL2Y1BX7c5+CNMv2e
Hz+7uJG9V1NyHEQot1U9EeN2domr6NympIZ30lN/bmBLxRm1SKgtTwWN3zRr39kk6JzMvs+9+mam
82DlLOkBe/O2ibObgedkxYBtC7L1qyytNxbXm84bC6hVfARo/vmCwYaquMrYMYhnyzba68/yIyrK
94XTUTuX5Bfp4XdMSe9vmBrPm2YCj8u6n60jXMirxmk3+USnIKkaiDyleFlaUgEZ6CYZJyzOrnPN
IfepaaqrSWbSL3NtA2DGt0f3ma1lO4ziC0aeE0/uXnLVQ2aK7qulBaMTZ+fRYKtNce8HHfTX8tGu
jKcxSNkjCvnYigloFtYM5BM8zBoTZ88OH8BMF2hb2WGJj43VnKcw3Fb4YdZ97N5GdsUerTn3fTWc
F+BQuNJfM4t6XuBX/NrnK5rq+v3czB0ttc45N2hXdnIWQi3a4Uh31vTY7NNSXI36gtXANKnTWRrf
WZzHZMzzGxOdaB0yJgaq1oj1EBFyG3oPMrAlTMKAjAaqlmiiuzT71hI4DvTkVaKd+O7U38iqNXde
M5S70Gvbq7xuZtR9yrUSVQ8fBruUONvOy0cYQwK7D9PwzF2sr8S4j04s850TlQeP01aF7dxMcHAP
DBx+DOz+1aINJI7/fh07xUXY/uddTL3ol7sY9jobaYQyoP+QTOgA5SKEWI2ozC3p51XM+U0Vc7kS
2dn9fxLnz6uY0qIRUSQ3O1tyx/tHHmapBvd/3MSUYsK0jsA0RS3wC2HF/FkxMQKzA1gm7eto0czm
nmhulhMCmHNjHUVaz6kD6218bt3UBMDvTFiNx+xW10wf4HfGnhtPXex3Ug+IIrhOWx/yslnWsxwg
bfR2i77RAtwczYzQS5mVS3pbEj6uCCFDZfg2jaLDDmRez05Rr62CxPIiJ7anOnotJa5WoXLNDBuj
Fesx7dH9DgMc9dcindcjcejICJ6QTwlIw5Ym+5V9BqfTjM00V2lqbppkKdcRX9Xxy37uirOlzc5+
hv0RW3EANCMbN5zc4lVQDNUr5dPfwiFx/M7JA9+oim074esq82RPzeSeU2G3mpriVTebBAkZQD9J
nfs41N7EuSrmc2lBDjG5NXjZgj0nC74atXubl/rGm4ddstwanXM/Du2j44Ybi5Sed/5XF/kx0ubx
+O8P4tVL+v43zyGv+fkcCnqKcJMyNnCx7UOo/0UTMX9DyuSBAoap0Eu/jLM94ABQz6SQ/KH++Yz+
fBDd3xxmQuiM0uDJUUiBfzDORmf565Oo1gCeRvQXWKN0Gf/5SWSQi0hWF/YlHbLwpIV5HdxNSCL1
nkKIlN3YojBPAmyp8YNBw8gOVsO10u41e58GeCPzWWDIGHXGwkkGyXvqOfdZUpVmkHVzbYyjYxIj
iUAT17zEPn+21k8Zl/MchA3mo623uHSJDxidZm5xQUAxHuT58FRM4ykpsq3mDhElwUn/pRvagxgm
51s2UdbYJpG3YV/eZXq5XzDIjSL8UhtFv9YdeiRagZuvyJt9txjXXuu9wxm4jU33stTuAb/RHVH1
nVa2T1roVqciKE91BK0zsuKD4Y1PWRf6rhbd5cK+524yrVCUIsZMZsXAJHxmYHEw3YrSveCZSOxL
H5kGsaiaa1M3jAA6oXvG8LHRvig7aYilydI71TSJrNJGEBnIrmtiYOTuQqphrZcm6i4dnJ+OHzQ5
2NJfynFczUF1zGUq/bzs9px511zyOB0JEgRLAbSJHJmsTG67cua4rz25TXRLjR/s0y459GFBJku2
C6sAy6Cr4soUJ/vJWO4ZUj2nCMaMYkrfNim3DOcMaGYVvbXUjfhzZdjrwph3MLGOGQP/HXT366Ky
xHrssojG2OahCiJrYzYfPf2jeyd1vA2TbNwBtrNGAfjQJm5ReLYvtQIRLzH+vUHWX93GhZXgZXs4
VrcZsEtPiUhIcX7SVdK3wyJdTXo4f5uL5eiG1nfJAAvKfeLBr1qeraY6wmv4NunLbY0Fjgn381gR
4W266AOeK3H5MYUv0ybXuZz3aTtRlmIZLaL6+D65HvFfw2ZYXoXbRPRvc8Sln2HpVg7p24wEWZLz
VFQjlJ3XAbPQFSNKhve5CiN0GMOz9agiCvz7YRfMKrcQ2DEZhoEwDv2proRiQPMdvykhsXvWAS9O
1U98ITdBfxUQv6KLt5yM4nkVpOgLbCPRfh70y8LDcDu7iaT00QVJw6Wf6lFxNM3E9Il6okbxmiWu
tEsShiadQHq54ZJA/sOuzRTVbyZbYcbTAe+rvbLrMj667rQwgrDHDZHbjisGVAJ9GLYjuVxXDy9E
qbHuCeNs9rRV0Xd2S7woXLdZcl07nPGF8cikd75D5EufCyMh9FmDqzGxFRhBQxsYjS0cvc2UdCPV
qhYUramoTKaVPLMu2YBdLjxtLQuQpMbYD9cgAOCFluDgtPmcCvLnHq7dHj/Hqs84dIu4fW16bWdA
pVgNZnMonB7Uu+0eNUrNj0aYueuSa7gKnzbfBCOWFUyQcUNri7Oy1EZZRJJkMkLjVqsyoBbdor/V
hnhK8jzYelStbxB63F2xQF1N08zelTlUoFZLdMYXdbkyhPr9Bk6+WqzgVHvRjjvEdcwTRacGTdde
cxuN/Kt1xFgjLE/GTKl4HnSb0iOxSJEqU0/P9acIlch0e35DC4l5JqDAVOZtXuQc/WOaORWmALTD
yQ37cDVWKEl2+kygdddr7d2SDgPES8hYEZDTwkjPbd+Q0+pzFE7Z7IKq2lMq+xGaAYXObB5rSFc8
sCjG4uxO+de8TbIrLxpuCn6iOFlgLuUl5LgQkBoC4iNHH2C+1akP3PepFAYe5vzYpSPzTYPKc8gE
/54QfpwQcBH+rxNC277/3XiTV/08I3yy8R0O5PBUedT+FDg0fjPV/3bxtJmcv/8Yb34S8AHm66AW
Oc0DEvpjbuLRfCMdviIHBU70FIX+gzMCAcW/nhFsqtMsaKuCAYpFjvHPZwTujKpOwRkvM2dfxMoh
4DoNgGDGHxBTRyOCU7ekobmZk2FIH4zeIEnHVDbuDtUSU+yOjJZetdiUl00yiQ6U/lgVJXJDQSHA
24R1DedZ1QQL1RwNSxwmj/30idP3PtH6VEqQK0HBAbkfzMviIWl8svixlzBBrJ1QLFAVP6n9S4k1
dSX7cDI2uQibZWNJgyChin9jNUiNXa9TQLVrhtCy7zMDiOIWcNqBKSwLTuFY3b7ShnlPH0iffIym
O21DyrR1+soTjK6ALPV9BFriiJyevcZkECnZwDy/mqt52GgZ9hRalNmfIxx8eo4qzGXAfh1sPCML
jb+7Tp+1iMWZ+jJ7jj6cUYNBXrgfnHSsVZeH+UZW/BkkYZKDQ0/+WJbjKQqhC7hqUQ3jnIlRh5qE
r4ErgZQpq3SXAvrBIrZqdE3nCoRp0Jhjfe82FucQ6rteDFc5MZYyPFaNliHDIZXQNOft3Kp4T+Vi
78zMDDekEK1dW3bxRm9VfUpId5Bl99lNqpMJqT34ONUgVnldjxtXY34WuuZ7RBx6z52Hj8WQmST/
LPBNZShXuqO9VinIT2fJep/d1d1FTfMhxyAgzs0RSeYc/NZjAzIu64TcMV1oaebQE0TuKDnznvNV
WDrlMR0HxKoEHgZEbmTfcb71vMDejR7ziFbxJEFMgcxoLHc19gFJ84WCpNw1n7ICZTSsk3DVNBaF
3yMUE/o4kSQr8vg9rvYdBKv6lhgKXr5wBLwUcyJB0ayJUM1ERPCIZFtaH6ZNSyuSSthXm8mQtMPk
cOeCqUj3Bgqhz5Q83/+7bP5YNllF/vuyeX75/t68/M3Vilf9smxCwsaOy8wYHLVatn46hXGFMB/C
h4eRG2eTwx/91Djkb5LaBJLT3HnQIH5dNp3fgFpjFuEFpsFh4h9drSyHBfjPIoeLD5C4IJBszPiu
ehO/mtc13Zhb0RnhJWCcKRWcpGs/m3Saa7D0jxX8kmrqvPUC0UQqtEmRhzS793sd5oml4CejZ+Ov
GvEGy+w0YRBeLV5CKG5geYWdouq8V53CqbhwVUC5kvmNPW9jxdWbwThn3bn9ddfTImIMzw50FgNK
i61wLXEYfXO8bK0NY/jQiF7fF7BdwnwMfBlA1edtl9seAgyTOp4/QzzD04LVrzAx4Cp4YDXH2gKV
+xjG9h37CfKewsu4JcVjOcSZMo1uwe+8LJBoNJUy9xScprRj1n54NbYC1/QAIhhgw91tZfnqQreJ
oNzkKFeEBvkn9gqB01bGjQYTh5n0uYSRkyhYTtJQLNDG4sZOkhu9MJlkxlQyjQqykyncDg4Rqmbb
8Q3aCwY9g9FDGrk8w5GNWKMnXwfIPQg1wFZ0fNKtmckrIn13LZyfPDfo+BqbbZLBztJgAUUwgaJu
OlUl2Cw5Mqu34AaFBgOzsOSQh6hSrsrehv4Rt+4afN5yD2iu2Hul3ZMGkwn3KtBE+IeYF6TTd/aX
+RgOETD/QuewraBG5uhqmwrOkaN4R5ZbcdYLgttZwZAiwn7bOaRs3ctyAjsKmlQofFLpaLtShcFi
uS2T+tuMjWbXhszFsirKtyze4DzgMZGfxlsELQlEUwDoqSYBJ8E3ZWH+1nkRvCjJoog3Md9kCvc0
wX3K4D85YVOdSbhBB1FwKEyV20ThonS4UXFgdJtBoaQETCkmC9FacjdfJwo45faIe7qCUDVizv2w
X976RjcB0NCb0StoVaLwVb0CWcUKabXM7pnbG3i5yXlvKuChjWdcF2NX+GbHR9m2kmkdDjGIpXB2
EdWduwKC1qBQWjGw3VXrymzftRM5u3CkmAL0VgCDSyoY15ijEyJAcClTqK4aZlegcxuurczaE8J/
9hLxqsP3kgr0pSarWq6p2h+XIB00sCWqX2H3QtsfZQ2ft/WcWy7inXU0FqRWYGI23L6pmfOVOcJE
ix6nkGdepG7pZ33PqF9O29nszBs55s9UabbQaGLOJC14V2yOD1OoMIlUmGymWMN9CiinLGmGSNOS
xHs/7sYMRTMuuWw2aClGFDonRhU1Pa5wYwGofF3K4NI41VU/ee26L4uPuKsJZUaHQrinwcUZ3yWn
ZWF6lObHSIvOeoI4UM7silbWs6k31hc6ggZodfWwrSfj5Jrg/4g7HEh9io2T8sbp6GtH68QJ48Pp
5JYeVLU0WZtSjahLZtVCp12jVuPreupGIqBqpM1s253CCchjIrvusaD9tdxOUWVRc6g15Z059u1D
OU3j8xQIkC6Ojq1kb8au/S1MS/vYMWwMbwAQh+6hqzXrWxA6IjgnNFHscpwj694LHo3Icjb2JPho
BGG2Cfi87K0S4MyYcPsa+dxtbApvV3wKn3ur3y+EKLAEOHtmRwGDQG5FYxzCbSuDW3dZLlPR45nJ
GYagid1kTpje94RTNnlFhW6TZoILZ/IRNvK2cVCftBECM969PTnszJeV/GJ63fd8Hh5qGwIOT/HO
DfDDeT2xDn258az41Kez7TM7fzEm1vGygAeJPm0wg/O7Lmj3dabh6miDy5zqwp878uYaCSWmfqOR
HgpFQWrN4kWWQ7QxBYQkCSopTpNXATqpTKbXiSF8Uc8VZb32LrCgLIWKtyQBL+nTFeYKiijpz+Pa
uOziPt5pg3sJFbNpAN7kAHEi2XUIFNVJgncyUDUYouGMzRT7SeaYCRQNKlJcqEYRogoTVhSsPVo7
RIxbEEfhDFDKHHTDz0cOToJBX5zQ3ZM18iqo6ptS8ahwc0dkiLWvdSSurYiRuh1CamsaMtLgrFKH
aBd4Kw2wEF4ahlvu8JYoAtY4ZadRMbGGiZkcWW0bWBbgncus6FkCjFaleFp9Um1jTwfo5UINhLgF
liv0Ha00Vgw/cVrFpg9SG65utsbdeSe91EQEsN5pjW22oyJ6mW53ShTjCy3O4S9OW6IcR0txwPqY
5kXGqQfQAazPiIDpAElRi+/AprzUgMQEx8oUKMcAYyw1+VXrzI6bHvyYhEOWG+F74nl7Gz5ZqfGn
AcQyBr/fKwhmuYh2/54nf5wnmTH9r/MkXIC/OU7yop/HyU+lnpEZcymbQi1lF/79OIlSL8hNODZO
RDVN++M4CfuX1gxGWAyz/l/f/6nUy98UkoLiLhPjoIW18Z/cwpHd/3qcZCrnEWDjJs674Av++Tjp
UjwL709fLmYePdQm551snuG9VnW9NhaqL2tnZ/AhsmeNQirvgZAvUl9Pkjz3nK+JC4S87A55kmwI
LAftWkrYrZtY9TXjxiDkIfTbUKOXtWMhBDaZJdqrQBTiUgxRLjrJYKAlyy50uIOZTPZtx56X9wnm
OQQ/SGPO3Zg6DI/Bp1LrwFWqMNdVtNAvNJVf51l7IKF8b3IkWumCNVlvOF9oMwR492hAeIDH+dZg
OLTTAiMP+P4qETcsCw9iaIt11PFkBV16Hiqar/qg+JgbUhARlRC0UIZr0eQmZ9vp0mEDrDMOC/Zg
UlxSRt/rMV/WnR6wnEzuJtQ7eH4lza0pmRxMfZo1H8apxFc0hiejxxdBU0JvYMTppY+vWyLtRvi9
xHBqhuox0r1nzZJALzLqK4HHdzYp8pjEQZMs9x3mtKE3qmsjGNkryg+hG+uhib94TPmRM/OrKswP
Rj4/pG1/0srhQ284kuraLPFimVRwxuh+mpZ29LSn+7rVQCREjg/jTawDofegLSP3IhAbuJrWqT90
dC9QD+F3ioRUJhCYcwSGjZumi19M8NnxrL9Fc3gsTNT8LkiotJ0Mv3AFK5a57/vmEmQE20z0aCI2
TV0hgjh9vutsUBEM9fOD2TV+29rnbiIhaJYC+0sxbC0awFOMbGk2AeHtOfgV00volPB72YuozgJq
oRAWEbpsZGovegOcpRkA5hopZHvmMYQc3TNzsGHj6qB4RR85tGqYmKyK5i6iXfRadDn6qgixwkla
Mpam30fDRBW3g8ksG+Ta5bS+KzR4eRmf/2t8FSyq1kGr2wfdtjHwiodx6Aw/jFp93bXCuEZWTq5Q
nzje4WXeRDYp4mCAI1xMoCMBlAS4aQz9uppMcQs0hPNpOuw8WnUZTh1zXGG4LsULCVUbJX+OL9Kk
JMcjPzS7+bbv2nGN8JLhKile57bciiF+KkN4Vx6YhJDyCz/J5uxiWRAypvzH6v5fA8xqDfhjrv7D
4WzaNjF2RvWEH/5y5azMCbyV5hmXLL9Pre80gI354Zd18+bHF/sVhfM334JOTswDOmskVBwUyV9v
tXMVTm0SO9YlbV/79Gauvhbe1b971Ocepaqy/vse9fU9esn/RvNQr/p9k0IPtgQJ9U81+M9SMZsU
mi9UJZfREjWOv29S4JbIx2DsQAv+AXD6k1RMYFEy+hWSFzEf/gdSsW2oDOEfH0CMHfg50In5Xp5A
8VB69a+fDuomTD3jbVwG9M92nZjmfWgDjC0K8BZZSOqEUz9gV0ZfoMqmkUIMdhgstYN37OzU8SsS
Ywiu81e0xXrXJ3SVFAYhP/ysm6Sv3kIxYdynxHQKdo4Dk2dtav1Di/Poy4wvc+c0TnAVWbNzSCZg
JrUw/UoOzdkWVo97TkTbSRqvHK8/9KBH6h2L60YkRuw7JWpDPPUYyqdbiRfjtq5yuCvpyK0xw6Xc
uEyEWNUYoWCiWs0e6Iycd+VO6TYJe21vJIAfE6X9un383SiA9MF6DHAdFsmwd8gArcKKy0bHBoON
rTAugUjK1dQX/L/IK/bSYNes+PZLnBWrRuoMlD2uewvjpFUDow5KyHjOZHBJyugI83bfNdREdoV4
6TKzPjkh21nZDRTDBMmX0gYS6gC803SQcQ5U5DivsS9Sr7hqeuio9DT6TeQEG93VlM/tzmuafRXp
7sEGQAz3jTJFx3vEAv9WNuV1zdkYr390JG1/Y3fB13BQs/2xWQ/kjpvKOui9d7bbsV2LVqPUsQAv
VWXlUzJmR6eIn6eka/3Z0z6m0IU8hKQRZ8M3u/Deq0LWByhDBAWKzmX/4ceCjsz4jEbAqzgm2g4H
Jf4mivLGnZOHVGdgMOYlpZaFPW00FwBKTvvjammxuAzts+tMfomljboQTKtzGEeYXOuHkqDBNtdp
vJxcB91Fn76W/OqzTNC1Eg+UqReLMai+ghLIUn9TtRhwdTkmm2bp3+irehow2MOcsraBaXyvghSH
M+GKY0FBUsB8chsWctg6kxn4CwFMvr2YmDewKVNllQNoN2qgtZZ50HrP24Uupewm9/vDVLofc+Ks
LRZVs1LXIVTqjZG0WAWd9gPFAOqLjpDCs1/5VZFm23iR5CoD5qiN5/k1AhiQAWrQhzJa1oFR+5wQ
AYJj/2Ew6q0jd7qYQ7AXdkF6pLg4qXvQtHjbiwPg+WA8e3zN1uruqnpEiqBpIc2dR+lRN1Ug340m
WHA6jyiZQrQCN9UW3ZPMyPGDTcHQn1TepsWfCcWg81ZdUmzLtDoL0e9aLMdt2FPWHl51eZXjdG79
WMw3Ihv2Vo+TWo54OZppuuSZYOKvZ89RS+rUqUA666M8JLW8El5+HXcV3ieTHvQWbmrJAWflOB0k
ysgAwBMaMXTB+Er0MTmC6jkjaoqS0uKxNIJ7DCmP6IkgM1NrB4jQo2jJgDweWfa6KYBFRiFjFK0n
rG/lqAAOZWTanH8ZneBxCXh/ddW3HM5Mlh5eF+bZhHUlW1NyeQiW5r0uTGvDqRa/Ba5onUAEMDOo
lB4/Vs5on90Pt92IZ9eM+3kzJK21TgcsBGmtf4DBPFkxd3eFGZsyCMQZtjQ9j58Xx/waIA37DUKZ
X3ekaNLE+GK73rPBrGEVmsWt0DhlGYv74Xj9rls0xcqHYSPa4baJ+l1QiK9D1J71QeMQVblHUiQE
kGR+m9ExSvGWdozG7D62O0gN3XR0ZmqmQjUdmQTlCSBrfKcYU3LS3CQWHQhUAa/fJkiCuTn7APrz
tUa2XM0GnDczjsBURcn3prIvYUnvvO6Oy9oiceIzWtNPY4irukPcREkLAVsRWzTNcaMNHWFuL7yb
QOL1QtuTFT55Xs4ps2qOQAZpvUH08us6n1FKHfpCnNLeIjs95Y2OoKm/1DjmdpOIet8dB8o58nth
D1cLUeYVE/CNNVjbJgk3Q+me4qrZJ23Q7Rc+RMz0saXalr4jVfS2GNXZDlmzJ8/cOIkyVDfvXHQ4
+9YvyxRuZMzT2c69b5nGM5YanPiA4qZRQYP0vexYTcNuaw18CHA8sHJXIMGwLHCryei3lV+rPj4v
lv2ediyUsemomnq55+Gmqn4Bg26OxBdbj8qlhQ4ya3zI+Nxy2QDZJUdmTIPQOAs3t43NRcGRS7lD
c3th72xweET9SovmcqObJnEwQtRgwmyxa9rmKU6NO4BQmaqruzdk95ykUbDC1o6i3/HRyGTFBWvC
fi/cVzNwp12D+sH7e8UYDvjbLb+3wYKQn4BkRnpdrosUArdScdjzziP1bZgYaIzxyNN0OIjMSis3
Xt5/h6IGC0/W382ooPLEa/1AC1K/GwKg704POGqOaMPzhjWQOWsVQFNWT1ntBy4GUanzlFVxsdJi
giJ9uJ8ppoB58mpCklvB47ubS2TNWEu+gR15s0fJhSnPd4Tudpwj+B0Ew52BW9tHL5XHRYPs3kVs
xYWV+hlHIz82lhk5yGgv3mIx0s4/UrRg383Hy0SJCc6Q8Eo349z3uuqDxE64gRP5DDHe2Gh1zgC0
cF7SCE5bFWpPet0Ht41bnFnNKXI/W+BQI0jjGkJw5B70T1xq+YOd2sR6GK5InQzLRv8ErP57jv48
R4v/eY4+vzQxsZW/OUmr1/08SWO6MJXBElcFRmkyqb/IPfpv0J/MHzIQ3LHfD9KmpJkJR/XvTA7u
V3+oPYwMkYZgE1msZ0z7/sFBGnbDXw/SrpKOwHTQCm+pm9afD9JJo6VCLiK65DoupHMkYPROhs5H
yG6KIrwpUZyPS18735zIGpu9pxVY72g6oJF4ke2DF1nlnefF9uIDLR6BlReye2zN3kCHZ5i3cSIO
WRYhtEml0SaVS8tUQk1Mzo0LSaGnga1XEbZsfiG19kJHnsWN9YvTujlVE/pOqACcmJl/GWTipgH2
KBk58uSwg1RsLmyoIaAd7yVVkboaz9WqF6FCurNAzCp6R6xewdgJDBZkCuzeO1hh06wGEntV7nyx
SPDlsWOsU1N+n4PpmgxXuPZI+9Wk/irSf5GLH61UgcBCRQNxgVBkpeKCpQoOOiQIE5KEA4lC9v1t
6hTZFYjFUx+ljF0CQSdIK0kBNyGWvbFy/YqU4lBX97W1VGeT7MNqUcXPPM4TCjcFibCaMdupyGNn
TpE/FWF2VeA/WMhFkmgf/NYgHNPrzfvSNjPWtinbuG2/z9pkp5OvNJhWVFImDAQ8HzAkOUSymEjB
GBJVroIIPZHNwbX3ccF/WcNE4NErHwqOncjSt64FBrTK3ow0+uqoAGjXJdYVXUwHTIG3sQqJDiou
ijE34JriXIXKFF5m1pdIZUsbKEaQmkkFF6eF9GmlYqgArJgAFIQEmbolRDumUxEbfqePuDLLYpep
QCu3JzqAyLjiEnxIVOjVUfFXJhcbp+pU8ouiYBWR5fqwtVRotldDUfmZpG2sQ6eitW5uT8Tl+ttl
QBOyzei6UEHcWkVyE7K5zZy8BgNhXSciA8SWvAU6/ugI90kGoS8Q9rI8ZGtWb0MfvmgzjJBguWQk
ghkGb73ghg9rCbSqv8q89GaZnW+xihIXKlTcTDHDPBU01kkcdw4fO4MMcknuxVWh5EhzHzXJRBoO
buwbCdkorVEYz/TarvIL1VYn6MA3Q8tMkO1tIMtmbTWz/gZRm2opcZ+rgLRDUroiMT3Ho8k9BonP
oxtnqBFhSVdj7STCPZ0bp38XpK9bUtgGjTKJimXrKqDdZWyPtgptc7z7nqkYt1jw0bhThsOPjDf/
eKoox+ipVvFvQ88vgjw4SaBtTT5c0wLfVYFxqaLjORlyBetjxIF8q+LlJKsb4pVEzjW9yE5aRkDR
/gykIy34kow6xpx005FaN9rgiXvQ7ONPa1YUpe89d7nKSLr3Bhtnbz2PTv6CKktXCd90FLdJFa+z
gNYKEvNtpu8sEvSmitLDOj73KlxPBrTYzmQ9LaGIPVzkZ5L4Xt+Zp9hoitsWQGx7nAaD4sSloDpH
mAuMm7rjbu0+AijIGLjn1GrSENtu7X5KEebMdlX00kEy7nfVZImbabaOuGuN64iHy+f3bsMmROWz
B7gczC2nx6Uuwi8w07NTYiX2ruPHsBkzLdsbmFJXpNCkuQq5r+urwemifaeZ2LhExLefK90gmh6k
/waZfqBfBArQf5e8zu/N2/v3/5zLqFf93Kjx8ujQXSguBMj4wwL5+1zG+E1Y7N90oUjYEr/Ax9mp
/4qO+H2nxuZj6aZkczV5YhVN5h/s1HiD/nOnlo7A0Y3gKthT/rJTm5oYQf+m6cXQra45el1MNWo8
5JbG6D6VKBOfnTN9ndS3huRCL3KKDPL9dDjoQbIrlL9jFKuE8ppItdhU1NnAKG1O+gRh/ylQI1+n
wxQ/25bwqXZgHkxHmI0bcV8JO/NjpsYU9l0mjSyuJ8VLILm54cY7VUyaC4dooWT2TK3WDnLrQsJ+
esCX891hSk3ZPV8AgtQ+nGwmF265t1rvFhLmx1A2gqhzznJjMPiuxi69D5iFA7BiK9Dnzqcu5+Iy
Lx9z0FOOGqGHapg+Ne5+cDBT5um4DxzxDHBvomFp7rn3Mvgpy3rYIJgn+8rMs43XSJclL2C2XkdP
fVp368KmGy8EhAgdgueNe0OGaUQ9hKN6HhkN8GjWn48plLyZOzPPbhTpFf28PM+terIJtYRfpHra
HfXcl2oF4IpoX2K1KqAWGNczC0WtVgyaGmARtoA5nFp2O6jN7Tb6XGgGteYIFp9ArUKFWo9IDAwE
PVijmIewXCVq5UJLNE9u1RCxzL2Z9mhOOXV8tKTmGAcvbbV0K5A6ABenxqtRm9a677nH1UlyjoZ+
hQkbtxbTlQiLvSLpbnU7v7Wwmo9cGuk9Npv0HWvYY92mV6WOZ4gc/y7DEuBL2z43nnZuNQDnUR6v
baLZU0SBuGiehZZeJWNcrmoB64OmvQ0tdQhZNR178rrIJ0wOUSdTjFRzLDZEVUxiE3aULGc8x9ze
QcClFbk00xqCQzpHhz4POC0GOFEmNuZNvoRvyzQSY9NR4ypP9Sir3dT2Clo6G/uNStBGbeUpFUtd
uzajadMb3Vrm8z23vWlNNM5eM/NKAOATGyD8c905I9Vruo2rIsxRzoisTTF/k1zGKjK8jaRB2afq
iGyvTZcJ0i8B6Cge/o+9M1lu41i37qvc+OflyGqymsE/QaElAII9KU4qKImqvu/r6e9K+tiWfHR8
wnfsqW0aBFHI/Jq9116LSVw7EnJSSvwzR3VKTK/ojnY8DT7bLGMTZ62GJtd4tScdrdxc3o/K9ufN
oBeDonVAgTB6Q3iyog3wkKU573kQfiV5m95dQ5aRzNCtteSml+wo58HY6IIlYd/O+abUFa+oHL2t
y6MvdAtGtGg6/EySFGGUGyWMjDhxyvSqaLvy4Z9W79dWjzXGX9wfZfETKKPBz/x2e+hs4U2DA48B
P24dldjz2+1BB8iuAoW81NmbfMjefxOJur84SN5pD5GQOiz3WXP80eeBN2LAhkYUKhHOvr9ze+D0
+7fbA74jgRKsbdCH0I7+2Oe1C2vXXvb2NaO85QSOT1S4NVwgAWttgjSn5hc9Sh8N3FVGyGTglOdZ
5MiZehJ0VlEnRXZm3yByUlJDXoNkOva/1ibQes6PTch2gPTsZZRMLMcu6UMieBG3McoLCWNYpY7m
VYfWapRlfZD2dNsn5HRTCJfh1pHgy/upeGbxHHMGmPtOdWptO5BCOgjwNjEGlT7U2m3Qi4ekMM5N
YWcbfKvo9MUd61HEajpRESXzvKrMj0UdnPRxeppbvEUI2wOqLSLnqgOVfcCgnq9ObCcQFByAidnk
8JVx2UITn4q5aCKbx/FuyCOEGcPIUetbwgGwG62EB3F2zN2rppi/GupcifvhpZsky+YQyFIs5Bo9
xE1bFvN2tAfy1HuvJz6y7nzTWaZ12tkZ3roC9CBqfYxLxkbIfl4nPXOo0R2+atZ0RI+FMqAJGhIG
9a/TBJ8fr/E2Ifw9ljD6YceeEpeYH2WO6yVj26QGldGnPZH1HBZLad5rdDW10xvESgZ+TtgPir6g
OlgRO6HJKq8To7xDWu8HTnWMUVNEwLxXAz2H7oAf7LPP1kz0ahMN686kPM1SvMek7oCcvbJAYzQV
jAxSJbFpKW5Gk5Xp1lUsDebm51zRNVLF2UC8SIBt+NzTN/tMw9FEKSqHZoc3k0OCpeV1vg67Y+gh
UNSieQ4V1mNJ5XGG89GF0wbgI+mxE3C3IrkLi+EUS4IrFSLEVrCQQGFDKgUQaQA2+AKmCAe6s3Fr
871UuBFdgUckBBKpUCQRTJLCTB8dGCU5HIqyqi9aVFU+Ta+BQFHxTQCdJFn+RO7nWlkXemF+EgqF
QnDhbhiz+ymVB7SF88oOIK1EHwAVhVJZFFSlqhpMkgq0Eo3jc+EA0UlgsEywWHSYLFbL3YtXZFdA
a0laCc/fXVmyQ0IHzgU18EgqSgrUGNZLCcwC2HF/T/RpyuYDIAxKm0OoEDE1rJgeZkzqhq/wLWMf
NArgYAWWAaOvQz/qHwcFndEVfqaEQ6Np5ZVwvLfiA1ATgqoxYNZAQtzGimEDy0Yzy5tRxCOYFfOe
Ta67domTWREkTHSudY6dSvMhA26nOHvGcFrscG2+5eEy7fF3kqkHUEeLQOsUCrJDwVVuO7g7iQLw
zEhK+ZYB5fEE0VlA5XehAvYARt3mI+rBQMF8QKYTagvfJ2vniw7vp1HgnxICEKOMxxKH4xXiG+Js
9Ok9jb27RGGDbIDYMJJACbXL/G0cmDwMCjMUhIblY3di2KIgRIiMS/zq/b0dMJMhgkixyzTU1FUM
bmIupU8u2T4Npzc7gnPU2UWxmWyPdrI+61CQ0m5CejThnGmUGFWiSl1QpzaoVImD3s9L+an4kK+i
Y3WUoLVC2SqUxNWdNHTuPWOmybAOIcabFQRVpfNJzjoaWWiguxnNrOPR2TbQr7PkEKGpDaL6W6dE
tkjETzOqW1urHiolwzVnCkihpLmeEuk2Sq7LFnPjKAFvgpK3UJJetl18Z1GRSCX3HZXwNx7GJ09J
gftS4zut5MF4RcldRzA8oRxOlYQYJ0uJgMlA1T2zThrfRyU3xmcdbwpSjSPSjaeZv6hO3nGmgo+J
nXz68BiaZCIjKnuPQnS5c+qAkyM3WbTlF48c5YU85UHnYWC68FA1fGCjpZO3kxG/rKsg5jp3bgaM
AzgNyZoMWf5kpDZL0pt5q2CjosuiYp0JI3IZXWnGakFMj+DAZOcoDrB5Y+Ra7nSwRnlvVMFL5HjL
riE7Oh/bcRWoOGldBUuTO/FoqqhpW4VOj7/Sf/+pkj6qJJOy4T9XSfdvxf+s3omE+kmtpH7yt1pJ
uWZIm4ULYgCr/nAU/lYrkYmIhpH6xAEi/dEz/26osX/BTWMgBNItTDVqWv5bqQSuHxI//8jW0UCq
AutvNNqm82/aEs+QuAaJA2G3ZtDy/6lU6mcph9TVqPHZm2flYcDXtioyGxGkDvY9xe6ttZbpJ1F+
C5UfT3ZMyzDW6fM4d+U6Szoabw7vCr6qz8ALUtI4g5KvwfvCOP485tMTuunXStRncFKHxbHdEyKQ
ZmMhXg4qtCxes8t1qht2v3eTkdQ+xusvNhqCwbHZa5ni1kPLtxrdQKIHbJ7F5HybQJltk7GCJIBb
Hy8iUeILxjPNWTbgkl6svurXsV6hxuaQTcKKewZAMvP8fqWTLTuqkFkrMJF792j3F5VAy/6V82qU
ibYmieu1+siqTT5ya/H0qRDbUjUZDB1ExfdLdSMetVWp+pNKdSqD6lko69gqz+ZmUP1Mqhob1eF4
rCpz1fP0Ivna0QQFqhsKVF9kdtfZ8GiQN0T7RNc0elhrECfeO6qj0mmtEtVjTUDINjOzSr8th6Md
tO1VLYrPtRElDcrSCDAJims8inZuGbd1GqbKtY1abUaaHuEJd3oujikV60lYL4VVEhTkgLxcpvIE
Jmn2NcfbFI53McMKMmd53ertLm+ibeY5V5MMXqCxU9Cm5nwo8dz0hSUOBGJTFvC+MWRD8ApsxBIi
I3mN3+fZDclGGmIH/yN/vpWrk2cUjGZ+CVzxkLkZOu0KxBEa76OVx13KCLaO0XBCu9s0mW2jYBrd
82LMt6KlKhA2SVMJfSMFmbgPh/k2qJuCBADzUofeVpsMpJ32LTDrQ5Atu3RA1yiWdj104UPn5hdC
tHbGZKgMS+K5CBFvR3rfRELvzZNn+NxQtNC/j+4TNR1YzqbdT334UNFCNGN83+T9S9zpe1LASLHN
osq3a6zfyBeA9uJUEDp3++TMJxBw4shHjm+zT94TCvWh4XfT5lAyDFCTeIN5zuLszEW+IrHdEF6E
WKnPzksY3OWyrg4z7e3J1Kz7uB8/FxoMrvah6VGJeLV3G0bJumqR1ldEF9j6k/CScZ2UyY7Iij2l
EalxpnmO2/Q170MMCI69JfEAaEZdrSE0MIeHzMcTOr55gc5aOx/Xi71cj2K4sGh4NozxWLYaOVUT
3iSJdEbYa4Zq90sYXUbdeq6bUWEqn7Ja6BthzNuapbUfp9p1ILxdkhcoRhEcIb76PCDQ2ZgjmcTh
DBFiyI5Zxn+GNGPs+m41NvkBo/5p6Ioj/+WymSbTvHJK2a1Sd8yMrR5zuduLVuR3Ec0mE3Y7/JQw
VCkkqykMa98Wrd2n8fCp9cbt6A2b2eVXMN3Xjm1x3lPEl3O3NvUe9we2qbB6mR0nWhk5Mu7Rsk+u
0d+5eo1HYRrBVjbmS9w3h7Ft/EwbiE53rVszCQ+o/G6Nwov9eRnOchjZUskCFUjjHrymwrpM5p+b
PidGegpF++gUlVgRmXrXRdbaqLJzVNRHrL4E8llk7fFZYPf9YuV81URzpou5IFDpD+Gsk8EUD/vM
qEEkGHc8JFdlj1wqapj+B2ILNY81DV1YbtQYqKxsO7QC/enISkQ/aqZAKjNqB2sGs9soAjsMp2Xc
j4Nce7jFJ69jLr/cdgNSaCevYSo0BKDzyLpI3vI2e8TB9ZqyH7Fqeega6721CJAr7YNuRk9DG99L
t31gYpqtpB3A9o0OgLg/p6JCfd3Ty4CuIQzrxPzpqlhosFt9PEfEz8dL8Tpl5r2nOkyDEksva+En
LDytId4WVXWRaJJjx/32T23y6wSHiuA/1ybnsujem/f5JzsAfu67ygRDhOfgrv8Y4nw3xaEygVpE
9g+HrPy1aPltikNlQgGC3ZfJxPd1ifwFj4dHJaP29B8EtL9Rl0Bk+vMIB1OPyiNy2ScQoKOGRd9r
XvOKCIlZ0QVzcxm2ENhBZArnk8PcsnT6Z3xIj+lyG6DEwwm0MQBz9V34yLkPS1GtZyvgXTUQL/aA
AL3MMX3MFeELCmWym4F+2R1QFcTnhwocmAgJ4qDt3Uq9gfKjmGFYDF41RRHTFU/MVGQxWrAAs2uC
pw2NWRA2V4VKEE9UlDiR4gXR4ovWYRIla3yM67eZ8HEvMt84o18mlUpud9MZExI55SqxvCK6vIfe
DjSwHJ5n4b6ixYuPBTQh7j1wP4Lwc1LuXoVKQ7eIRQ8AAmxtd9kvBKYPBKejm/Vn20FjukuBKdQq
X10m42NP4Loba/uRAPa2IYndMaq111p+Tkq7nogt6uPrifR2tYCuVZx7EEdfS1aMTLbwP9rjtad2
rWVsHKxym8B/QQDlG8Z9WJ8bIJZd+omyg8aMAPlWJcmzxV5nKlu+kyplPiFvPrA4P2XbsrbwCnXv
75JAO9kqpb7soDoGcb8Zy+SuIsget9+ytbAuq6jkfU24bqNS7zuj5YZuxK6BRUkIcn/D8Q5UldZZ
BEOxiwrzvYtj6yoreD1Eda0MITk5zWexzDHiTvsUkepZtsnbZAeeMtCeyGu8ENB3nVfW2k6gHmDX
PI0hyFPLWTtywVBuTTZ+ZskNq7a44VJOvj0OwFxSi3ARh1gpqD85xBhyXefYkwAmMB92zpustAM+
4m7bt9RCqmY1KF5GVcU6Sg1NWTur+taqk7tCVbwRn5xGCSwphWtVEwtVHdeafsjc8lxRNmMPeooo
oytVT+uqsl5UjV2qantWdXdKAT6oSnygJO9Vbb6oKj2mXA9U3Z4O0z5XlXzDMBT+gk1NSviqERPq
y3nL53EEEXqxqPNSzmOpZ8LPmfVUg2usZs7shLM70+Njx1leqkN94XTHZHsSnPaGOvYzzn+XeyAh
HcWLQoziXBA2N8XIjVH12mPMDSKK8qrnRiFw65DCSGJX/lpw49hpzR91GU8Wd5HZl+deXU5VOt1m
MFinIAZUbmOmHPeVVx50bjVIUfs6jK5Ci+uumc1jxf03cg8KdSH2S8M8pHsZ1VXZWgsjH9Kf1CU6
c5s23Koyro6UDHsrnZExq4s34Qa2uInDyrkU3MytuqLd0Lhvy/aZdv1I0ti55y6PwvmuEBn6Dr70
aRZt0Ws8h9z+Miz3uR27VG7FzlYFQux0Z1OVDMzCWTqFBybgt7kqKkJR+xFVBiCsF6HKDtS52dqj
EhkjeephqKwWVaQUS/7CBmzv9MwRqGIIk2BwTF1jZvbrQp0zaqyeqHsy6p8CF0+r6iFkwRj3mYsi
NYg/aibno34iD3j2CWKhqnJVgTWrUgtv+rJp7OzoUYWh4zhAZexgeXlHwpYvFvVaoAq3pAzPoyrl
YlXTqeIOleo12ba7uvSuG1X+kSS7zVVBGFMZxnp/mqgUTWpCJLX3i/oIkYZ9RofPtzHEWTse9VB7
nqg5yQy4FimWV1slm1KVGqo8jVWhalGx1qp0bXS5LVQxW7v5K26G8+wxmu+od1Pq3rSoxnVLJezY
4qqmMo6okKGM30Jc1n3DeiBhFxrx8jnJnPtFldaFKrIF1XaVF2dNld9BDYibehzx5I6IopWlCvWk
s63NqIr3lCreMML3VJX1jirwZyp9RG3UqHpF8U8X4Kh2gIeiQu5Fi2CHYt/SM7T0DjU9xEwvEdBT
gGNmKk2XUYzxjvf8ACPuuauj4TBZN2marhPaEyOxEQvn005a5WWkgYlVJ+Paw16jtekWF3K1TTCb
Tk3r8afRL5rqhSKaoqE37oFmuqgfETy7WA5Wgw74zLTP7UdTRS9Jg9WrXkt+tF0BDZhRoM/NVU8W
1TYgGoTwsTvw7WR/EpOoZze8JbaJe4ZZOycsvBuER+4q74Zis2iogIyB5OdwQAE0EI+O2Hlj2fB/
uWEkc2NoepWh9n0hW+luH0S4sCelpS8Hb7hKsomMOm3+VjTtAfk4cLe5SH0zafQVi0Z3I7PseShD
g22C3aydCMWLHrWOtsoTGx13Hp6QC1SXota7lwQdLiigpdFYyo/yth1B3kHRZRE64qKJIQlZOpv3
JVsvunYazeZqqOIbw0231pRsHGN5gtd4F9akRNcG8m6z8I0M5Fih1y8B0wHfCcdNo7egFVOMCBba
HrPrPg8JLJ7U/cRQ4TyMM5dMDIl/2HZMLWKzfaiEmNeuE71xsj4Js9kHY3QRcnoPEvOIJ579aAQf
KGYi2WoQWhd5dOL8HMSZyfQup/NNYa/lrA+4opuZFFq7wbTCEiZLy7uuTWNK+uVAfPFJTvFeb5ZV
mFaH3BtXshTpOnawYNqJeeuN+X2H7nwo53mdF8VDkQGNzrX0yED8IIR2BoDrUwrRLdeHLvCIoiEj
zKmPYdWRAGEes4JcbZOb1nS3qVt9YWi/SdLwdgqoFGZZbZYg2jRM6mXdveeRd9IKoqt46CYCk3sv
+2KbIly1RGWVIr7DKrSBi+l7Frs3M4ceMIn7NtWUCUfTfCYeoB7CzYIiMRgYuSi3Ze+1kN/0fd4b
L4OLyjLRp63EYWIiXaC0qFdxQfLFnKUvmdmjTJD0e4xPvLQHVxBmB61KnkAd7Ux3uRGDEWEm1x/m
EV1EUj2X7CiZ6hN1qA3x16ApB0LMx549v3k9SnEdhCaoxM7exEm1sQJnl3jxwYuFtw3D4Eik4Hs1
y+uu0nnHY9adbIOHJSxHydaL7VsEB3ITzLZ7KfXyqrDYdWQuAYiduM0s7ZR1mDG10Ny2LdjDQEaI
JUlW2+N9+CTHZL73OGnWOERPEyzrtTaWzxNRRZVmfzIMEriquH4RA+WLsPtt2g6ZX7S8azfQ98jf
MVoqpmDpRfuwyUDFV+m5QmGQYiK4aEZzJM+uXht2O63rJmeKPQGomnE1IHT8NmNf0of6PownbCML
AZIOtM25609Lo25tab1MOl+0BH3Bupk8cuRm61pP42skf76VWDSM0dKeQEsqp6b5bACguBqb4NZr
s08irqy9+rrbWKMZmHGbp81gfnIjxJCVdcuOMz55ZgFEuDqElXgwYEsspRSreOxZspTYO9JTHYpd
71g4ymT+De0NYz7TYNDuPqRdeRWzfUhZVQ4ZUL7W6F5mvb7zJjCNReVcJ3oI4DLZImGfIaUmT3Xm
fbIm887lHD5KMykgVNj4TzvrE7nUB68luAZ7MPuhgf+xVutbvE/IUQvyPhIsUKy5Km5H/C/CvJ/0
xKCNaBo2yW42WwZrQtPWNoYeB0vif9fx/XdLKQhQxsS2QbKXDhgaP/KPDZQRCzEZRhFfEsLuiuLc
EgvjWfd//SI/yrRQU3+8iK3DacJCSCv544ukwdSYJGrHFzEftOIsYLBp1kM3Pvz1y9CJfmeA/NfL
OMjALLyQLOPUr/FdYnEghEcXICjcjW9j+aiZV3/7/48qAeMt/lv+XH/+W7VEaZV4IbNLMfKg7d0A
Gfzv3fdPPouf/P4O6QT8hfhDSdyaP/7+oaOWx7LOLy59Bz6/f3l7/6NDWbEC/zCI/vvf50+ftWWn
OtIC/j6AQbTcTxHmOmsLLcA7+Up//VZ+8lIObTdoBov4XzYbP76VzGWXSYRZehHJHkd6J1YVS14L
hr4P3OevX0v92n96Wz98LMwuvv/YhR7nbACy7FLB4CYtgb6rW3OmzsP2r1/oZ2/q+8//T2+qcBKv
7N1fX4iNfUEGULTlHlFXcfVfnjX1S//5TXl43QEbw0ozDCwS378pUxZGycVbXFpzG2Rvw7SRwZe/
fjs/e9y+e4k/P25LK6mVUJpdCvctCT5Z2v/hcVawDMdS4A40pD++BexrsrM0A98RJyDL5Wz+Pxxe
qHeErdSkpOUo5er3fyTCbKjvbb28LM7b6Fz3So3S/Zez62cfOg8xUj5L4e4Us+771wDQBeTdXfJL
Q+E3+0oNIm8HbJfIeMz/8iT/5LVciOOGoausReZPP75WxMLDBNNdEFRMTbKJS4yMG6dm378z7j4+
/H/SG5RG+PdDd/3Wvf3PO0znbr5+y9////+7fqt+5k3iZ34fdxpY+cm0tBw2sYQD80z9vog1WMSi
rER5Jv5Fqflt3On+ghQaTA1TUsaQH9773zax7i+6hNtKpIFSUgso739j4mkKdcj8cTDg8lczVU4h
eDTo4Njt/viMNHWbW3IwlktVtQzIKTFWpNORvCLnRz2pd4ESmY56jTuw/0wiFzaMCRbNZB1bGWSo
aLRHb8DhKuezXEjpkR2wtCDrViKMLzaMtzlwb0QW6njzemNTj2KXTt55NOWpzMudG3r7PjFoKHAS
ubBl/SbEio5u9N6WxM9iSnjX7AJcKmEn6WCFZ0dZEDVApCu3lpvZQAiB62SXm/FBSByDleE+OZV5
Q+F/kSi4V31TDN6JLRD4qXkXTBChZundZkl4H1IeEvOOCknioAqzUiBitd7HMkzOy9JXb0XH68xy
2C1aE/om/EVEwHuaFrEFSsvIh1AKhiGx6HwjrK56EaYbAxAB9ijHW6dRTYSdJFco+xz28VoFZTDh
and93cQprvZkx65l2jqCDOcx3eMGg6fdYQFvo3VjZfrBmMsjFIb4Soe0GDDr9d0G13iQMlFMS0Qk
o31f67ENsKTpfCbHvAuvsS5uZh+KsRfk83nYc1qZHRjPXdvQWsyi6Py2C17b0H1INFceYs3cW3Pw
TpVSwDuffNez83XLSHdllNilNMval1HQIqnNxQOz0BZcuTzQw01rK6zukGjvJ8SXfiRT8CxLW/tl
3AYHppcCWwsk2SoBEEA7sFki8qXqAI2PDNMv5LXBka9ZLZOvZNx5te6uFpkCcoHsBXMzWmvo1bfD
qBIJMhVOkAIOO9gqsCB0BQldmpseKtIMJodYg8GyzBW1abLrSpnV+6YNy+DeBcZ4RUz911ArYZwH
qXe1VOAJoLwemjp8YFxLnFhH4JRWdT7n/6aNerkZ8AO7Q1EeC7c5k9r8rZzARVjLiJZ/eKlaxkOI
4556owbBiVbUH4LqBUeRwM+6nPpiOuW5sPzGTcD1ufAyS5jzozwjDuMroT11oy580o33iUHnYofW
xUFq3rv6VsbIBFsrLVeIzXcoOE+ZDdRceN3rUgWXQaSP3sQUPMcqFho1ijkwbX6i1/GmScp2G0cF
8ZTpOQqJO8nCaIMM5Fxk3r7jgvZHR/saB/EjiL/aD7UwWiWG+GrG1RN6jLWm3OKNa+hvQyM3mq59
GizGGmPnns0JYZGOEf7WTq3XriLiWXe+Okt7pPW+XnRUWvFiEQ0lL1NZGueiyXeZYL5VOfbRJFmq
aeigNSO6G0LRr9J4hvj+kGoba3aPVQxGHyf9Kojixi8q7SEesPN1aXbrxgRmGmXzqdK6u8TuA9Rv
ZGSjmvBtkyXrCOYzTjaaZu+XdixJ02LULZrW85GRrbLIO0PCZ2GYXggT83uLT90Y2+PgEAKQ5sur
Zw/dtiP92nb3jNIS0JlJiKO5PvXjcvCq+LMh2asGur7GRuzh6Ujuu0x+9vDeEwYICrqonadQg26p
5wFf4jJC4x91WCA4C8l2yKZdW7B9vP7nxv1YMqql23++ce+Rif+MrKN+6rs7l9Xdf8K/Sco71zaQ
gtu0En8YgrlzkSO5bBJ1SjMu7D/UT+4vgksSlJy6rpFI/q3EJMtVNd4fd+4H2slziIshtNrljjf+
VJcxOM6qlH3SBSIyCxBJapePy7//0iT4aqx0wtjAk6QFPFOJ7j0FHYOJQD1vBDp97vLsHmKjt0LH
te47eqGAh7TXxKHloUX5E/qNeo7xoq8D9XCnpv6KOQIji3rwoX0fSIrwzSW+mMTUMyg7Q/9c6eor
06svz4DUcuW07r7ge7WMJD7wPetGm4R2vnmp+gpm8XhnmN0nT3054SHckiytU8NqD5r6AgPh4rbg
Ox0GNiljLxlf9lF96xOZ3LXqHKDu4Osij7k6Idj17GZ1ZojKgiHHKYLn4rhwrAxFf3Tb4GvljcfY
sF8Ndf5Y6iQKiwBQAWdTaGifRg6rVp1azVyi2OIgw7P7FHOwgTzn+KrMGhJM9jhx+PXqFARptlfE
slmdjzgFWZul53ip3lp1gg4BNlR0ZrkfqfO14KAN1InbuPnjzBHc9uNrrs7klMN5cutd93Fa59BG
iMfbuhzkdUAMjzrZJUd8r876efFw2xJ0yyUwQhIQ6lZouR4KdU8MXBguF8eobhDMty9xJLlT1O2C
GfSpVvdNmnYvkgtotGtCTNWVxNXErj08oTi/xiUerQuur7HFCaRzobWB16xarjiDq06oO891Ou8K
5Ea1wYLwtQid+zCYd71KisiJjABMB0fT1N4nwiQWQiVswiX4Z/tCpU1Yg+tCFoxb1EvdTfGRSUE4
hX0qVVKFx6zYpoZdRyrFwunbb7le7xPiLewBOFGnEi/4D896X2+qsofFkwK9GIjH0InJSIjLsGZ9
x0IoXHGhH1uVqNGVpYWdOcfHQNoGfqmtpfI3oEBs5sipmLCRzZES0lF9pHWo3A5jNncGQR4pLtrM
Y0uYwtew0vEqUZkfUTNfN4SACMJAOlYyxNuyZfjSh2XzHBUdMldYvy7O38K5MyoST8KVS870rai8
+q6dQcXssElTlIptStgAVV7wDUHzeyA94UfY7woBl8IppqfWbj53aV+vqrK8dUKG2VF6S9LuwWWB
4SNBWFeTg53fIR80E83Wld21bmYWb67a1A47BnNK2FhP1gaz/ggs2sH9z/bdr+J83ZG/aNoz62Vj
XU/Tqxuwd/HmRz5okloS7TDH2qmowVWkpF17hPeqwixh3YeKP8lnxucFI1kX9JW1XJnM1/W6wflM
qLuRT9shZ1ZrxsnJicESdsj2vcnZjVSSQH/4QJ46JWeYerXp8Ac2mbEGECstnPWct+so9l5AU6ar
tolOQ+Xp66WOve2U2yARU0jatQCa7n0BP8yXYGbS7iizn7c2q/ls9clhbMBF5YZojsY48tlKeEz9
vm+bL2wpL8nkrtvEehBxyO06N6cldUiLkcXGArGMxQxLMVEIWz0V97IP3msc7thh8kPnha7fOsNe
Dx2IQLXcW5iqCVYcjhEOliRmseTGgx9Z/Xl0iiMmS8phmD9W6H5inE9T4u6RH7IFETvP6W9ie3gW
RnUIrGlrD8LZpEnG+TcVoNDt8s7scV7ES8OON8QOk+wzDkAcodeBvTzUWOxqo7sNjP4KCTtmRSbn
EzEcy0Lart1sTLbxZdkOa3wuC6ewufVkdxTFsnWZ8vrerOGaFCromwBRo3+FsQwb2ZAmLvTwRi/w
PofhLSyhk+fOg7+wLdvay3glbHyGJZvitAqTDRxc72CGklC8aLoxMw1PyXxjeO43k+DRIq9YcHab
lpinLcF1BQV3d5m76qZz3Mcp7iM/l7L3p1x6mykxspfUDEgSqYZvCUhMFioQb4pD0pWnyGNB2jfx
Xb8YayNuvslw3vSKrhlN07YGt5nqhvJ1p0+cwJu2kLeNFtDNKESn3TxP9XQcFbsT3SxUGAAPHVhP
g91SNIEnAvdpdR3HOADQoPYooPWAHcDebtv0aci0MV3rWoHde4EY6jLrz0R8MKRqTRRRdAItan0w
RgdYSC10Ag9utK44pJQL4ToETTopRmlg1t8cdGzwY9IzISYcl/ME0bSMn0sQp/Dv7izFPB1Ki2Fe
+0W6xroT3hXroUtrT4dF0VIbB8FdAUB1AqQK8/ghi+EtEaCyrjJI4u48XgZFX7UW934p4LFmPWTW
RjFapaK1WmpzbH8gXPMPnOt39dTNr3XI91RINeH4rjxRIwHGxRjYcNQxNCaD48eRQFvDwp09k/Dc
+3z1gpX4pvbxwvre28Nde2aZsSn9bh+fCOxYR/tyGxHitcf8uvunwP0ocE1mQH9R4L59aZgtFT9V
+POTvxe5OiBjKlicjejYKEq/GyzpjI+wgfz2b/ipPwZLDjHgwgVAy4AJQPIPRS7BhvAQWBV4rvX3
8JG4K//tKXKIzOC3w5WpMJdqOPnd9sRMhqJFwwR4iShB3+rjast+LdlUJPnlztRtMVK35mqS1vBp
TPJjRbrbzkbrv7KoHH2SlCHrF65+F4Y2WECZr/K5cHxbxNpRdMubDIzlGt7EO+VQu3FYBK+qLLgn
Vdw+FwOusnkw6201DfU1a6RNEkZPHabpEc05CHH3Ku+MK6yS39Jpfhqj/MqxUtLtWPPrxt6L8QAR
U0zcTk7UUJIhbweykikJOyAcRX63pP2eONbjaGuv6aC9U9LVaxX94UPCnHAP518BnHErCu26E0MP
jJ8zeUyZDRGe+3mOUApiDdPhVg0d4gXgd/1cPkV5eWvY4cYukcc5s9X7dd8Nm5AksfAcxge7Mu/q
1kaME7wvSl1U3Ng6OhRM5deFZ2+XKXnOa8zXRvAlKuTDICFrieTbHFoq6dm4dZt5RpGGbm8IW6YA
HaPhHmJbn0UZKSA4S2vPrNeNPd/nmIzWnTNae4pS6IYEPG8EfA6Wn5A/c1hbfhvgS9U6u11bXbhP
I9Kac83cYYhP7tB0GesJ7PQqmSGe6TFhJLLUzHNTK9FASQhQykr1itHaXUnYw8pimbSjoz5IdjDr
xiRaj3JA7vvAm9OnItSc8Gy0S/6Mq0/zVlkONsDPhsWfTORlAymrCLTdby075ilCVd5BlzZzwCzn
Luha77WRS/wV05yjYY+jAYgtPdhKFDwXR5Ad3UL090NjLraVNZbnfDHiR4ZHT8SNT3sqttcUyC9y
QKD0o5UYa63qyRac3QevGA9mLnekXvWsp5mGNbr+qPUBYfJiNDdTQH8zjDAMcgvBs9Oyw2gLb11j
2ViZ7XCekDk+8AQwvIRGrUB9000xcw26/Vg9kLHwuWVrcXSI2ENKEb1XejT5i0VCYOzp1xrcBsat
7NpzTerYLLt+3/RBszeQWN3Xdp1dhtIpHlIDNVelw88crOqhdOnpOltbLf3SEUQlSekCTNEHGgo9
BHGE0cxIgDzQOWYz+TnO0o2MEVCxIGGCRabeVTeL/2XvTJbjNrpt/S5nDgeaRBdxzxlUX0UWi61E
coKgSAp9j0T39PdLyrIpWr98HXEGd+DwxA6arCoUkLlz77W+9TQG1bKOhk/eJKBbF/oEdIiIj1D4
qBBHoQGm9IdHQhNx98x1sIq9rtjitk2fU8tudxl6INCBHpFQBKb3dMrWTafQbQ2trgUM9+ZqsAwo
sAzSj14/XbSgQyiGmZK5ZcyTSb7lZtS9cdWZRXvUPE6uLZXfIrXHef3vfvS2H6lh4H/ejy6zp+fX
hn3nbeyxf/nv//qdBsNv/bEXwXVhjG3/rtv+sBcxtKXz6jBIfxtX/LEXQW0j91ZZ+SGEIBhgB+OA
2EX//V+WMu0z5iATylQwGOcfxTexe/11L7INw6PnjruNwduHoRtZtL3ohDucOqDaS9Gln8t+unbL
ngAMPzxxUk2eCSMqSDmxbrFqJsseJOENqpmvWqRvqJQERksNaRNxD9CWUKC5SM3iJvjShBytxsyF
dSaLa4HVYKsTPLIdQCIS5URtWLlfpBXfOP38OaK9jKoLe6hZiSVVZ74DdMgBjNFL7irfqV9s5sy8
4bVWQ0eZ2GDKxNoKWznx0N4Gs3MEO3jHwJ++Yxq+JK13FAhZdDGeIgJYSxevFIlIV2ak6xtCtXB2
i/5yNFE5Mhd2Fq4JYjTPSJYOsXfOsGVrjly6QHU0VNiMIkQ5fsfakyK4XEtAHmsrhc+M1xyDT+7v
gkrcNj5b1uSvpGWtJcbmBQSreBnn0342IK93ReRRuc+fbP8FetmqMUfVQj+w091LfY6XVdKOnN5J
yJATVEanZ0O1x+m113ECGu7GtTRS9/ToU2jg5SU4AAkpuiq0QKxUqmXunobYvVBNf47un0rN/oKm
/QwgB6KxeeVYWOFaYy+D9IqGQKFibK89rlCAK2yhlSSBZNlFI/xrJ9a/pONMrqHuGwv2HaXjHu5y
UzwkqCbMyoXG38MIrqTRqlPwGfSqW0KsCvxB+qe4TyBlFqTxWMFdNTYXyI7PwiaFN5Jlr0KLHsde
u60sdKnReN2xP+uOds/m+IwNnlRXm5NZU8EEm5Vy0mw5XEzTjS5JJ6mFf+RrOh8SF0UUDAbxFcXn
OjBVBpKcN5VbAmcWxHNhDXASj5Nv6G7nxMWsWJSPVuE8sPdNBLGPT6B5ub8MFM/wjtFlch4z+uwl
4I70GytfQVdWsXkH6Uy70uleeo392oysW5tOVhjHbBJBDath6DC7EwtFQz1aNNqUrLRIEhNDdjLj
CU5uHRdpLmD72BF5t4LTUOdUax9SMJyLxl+3XVEdAk5rF6YsP43tQ1bvLZ65h5w5XamoQ1FIbUAa
E170ScUfN/4+SKlzSrcdce2gFtXlIJayNhIQChEaR636yqSq89Fi1h30nihIpnWXp/V819ulij3o
R68laStIxU0RWKjnUbl9ikVSroUhb3TfJjVg4rxWABD2BxwFXpKs3MLfgmdoVxrkdrqfTXZAJ+au
8z5QMk7roextuqNAZpkxcEsTb0U2AmOOGOXCUqNJE3r+eONVo7MoUTWP0fwCx4GubOitOEtv9EGu
sDHiIB2xXhSOF61ADaABcy9GAXa1ipczvrjYLjaRZ+PU89B9d90+9qxFg6YzG8vLLJabqtdIN9Ja
9PTYFqDvHkRUhBdZOt6lwrnh6hpboh4v2qS5HGt556f+rrFEsQyD4UvriE9lad3nugsbKagJNCBw
rK7nWWnMP9kRAuRyZm6ClPZiCHp/UQzWsEyj7FwfADRi7oWLkOD/6mwGNE61MGtt3Vjp12mu76rE
/VTV8TFrxJeGw8BSz92TQwvSkaVOmR+RLVwP6Cw7RlV6YHzRx+TaM4tzvrya+hvKTpe6d3nfDzwh
Vre0Bw+MLyI/Z9YE5bM/kz1Wr8qOh2ni0XNnPmdk7lsUwQtSfq9hfuylaRxwSZ7BdTpP7YxsJd/F
L0PqEOB6ItjAwYKkcqE2idyYYf92r1pE0FXp18mmk34M10S/KAJfA+8rp52JDBXL5BNMaRqv8502
WcRPjdMzMX/JzQQga9kM+AZaQftoghDghvXzgE4K+Tqz2zIv7mLPoedUPQP+7ig59fyW4eJOK8w7
15T5Mqj4NmDDExuHbZbmHsvGsHfzishUR5Kpwe5QdVj+B+Zteca9huJ7sHFEhGA7G92YUGFmIR0x
B8EqdGSKX/OtEP63Ivp2Qkcq96uKSOZP7V8rIqV4el8R+WDpGCap+uVDDrDA5oZtGb6sqati5PfT
uQp34EecwjnRcxL3342gfPz8nKV9+w9v/j+RfbhK+/fnCIoeD345+He8C4QmYG4/aANFFBYFvTrj
ZAOYSHdQu8xF7dXpMQloeM7tlRfNnwPQFiak8u0Q+p+1OOJwB2faZpLtB+DRY5aYpqtILCubK6cv
ATjqZFAj987HvTW2q1nucLU/lGHIos8qFp6MxA+PiAO8pWNTP7gG8tC05fTmTPNLJnxUvdJOcch7
DwQEA1y1NAjcQ/cwl/luMK1wZdn9ZTx01romKoaf62dzD+iCfseRtgcteTf7VGhYzoGJv8YVwP3Z
fPE0VPGlTAlJMMeb3BtZwkaol5P2uZmFgy0ai7fneMt+9i8KZ5rONJFeO+o5Ggtgc2PAhkD1y7+0
X+1AMq+ZSTjqjZVhEuZDRBrUtECYqzxqOM+U1rOe3tvTZdQ6kOpACNpgfZ3Ej1aB2zUrltBJMDbT
8R+A32a6VlnTgLeCtviTERPuSHoFWEGieSI4IUTSQpaq16Q40YQWBNbqAQRe5KlKS0wUpq6CbS2z
b0gIUnG3kwq+xURGbtOcNVe9isWVFRGDrCtcKpVe0ar43EgF6eYqUjevnftyJmR3YBi0Fip4l+Yz
9FC1xY4qljdQAb2OS1Qv/kyxwAimr4AUMPUg0NdX0b7sr/ExUHG/kATaQxT27nZUYcAoqmW7qlVE
sMZ0aGuk8qup4oPrqKa/oSKFDUf70nd8fYxf6zV0GWBPNTqgWIURC9159TXiiSXxcmucUiYSJbGn
nU5koZ1kl8xp0rXRqohjbYrXPlTirVAByGnf2lsvql9zJgJbOEbMBlRgMqj18MCVY/tQccpeqczZ
ExHL0BG4NjrolsIkXs96y2I2XPIEchXQXE2MTUoAtYtWZUB3ntacDXQyzsKBcGc/wpeppkbbCgTV
mi8PAnprf42ZVS8E+dBQbqytQnrRklHx0YlfUUeR9fKFgIB0QenNrBI6wiLMEarXlejXFEuGxrsk
mjqB+P6FZy48NEg2dgOzlG4dveVZjxbR1iC/muRrBhtr5xmGeVVS8K1Mz23PumBmmGJRUTTEZGSa
EWI0JDmjUBkaJWEaIIzDpT7TRij9oUQAQzgY0RtaWH/OVBZHoFI5onwe171K6kh0MjtcwjsMQjwS
leYx+Th3TJXwgUME3FKFKn+WV7GKALGdLF4yUav3vnReI3JCpB5shpDgkJEEkUFFidhkisCEPGDm
vFcZ4ltAN84yyxu1iPhHLsVekkxS8pxqUunDcu9W9+zLmgyTSoWZFKSauLp4Nkk5od8/0m4bL7sZ
p7xHEkpJIgrtnbv6LSKlo56pSU3pASWSpx1PW4YddD0Kih0vLwg2aNHtRNeh3tgLVwWxyIxIFluf
n8YkUVHn5i4mtSUlvcWzhqM20jCbVLDL6AMLAsVISRMT+yIw4n1JvKJ4dNIu2YVWT99LSJqeFGQH
x2GyJciqoZeYf/FbmzVLlwU2hPqyHLQbZheKNZTGhxCn1WKksbJOp8HjLVHxTXTd6G6yJgXlEF7l
iMAXLY/L1Vtq96wHHLvUi3aVHa0TsoS3Opy264wU2JVnMoxhhSHRI3E4ENl0XithTOs54eAGVy5j
hXGn7SinZB20sYWLJxdrf06ARzX2Vyah8yoV8x5b2knHqJhbyTkIXwVd0E1CHSBIAQUINqlo4w0w
EH2bBXTDBGDJnemM9iqpqNyjbMYzE5tb01Js7YR3G+U8teaAjCcrGL7CyVOcXlYpHZz2dij4pHbT
2yo5LCQM0nC2GtkHiyTnUFuHoLeLHG0Zy5Rc/FvqfCt1KD/+c6lzHfevOKZeXn9S7fCL36sdQ/wm
UDOjnvkuqvmucYXZ6IDUpaLxebm3KcX3UYRAVIN3w3PQngrUrPSTvrd/rN+YTUAIRjlL5vY/HEX4
al71vtaBGeBQ6njYBpD9WM4HuU1kFj0mbgugYVnXlXuu0T6MmAkLvc31lS+S9ORL00rxgga0XHD1
zBsDOJ7LwQTIrMdaeZJlrbE2j9retgvrKNloVoPZFmc5ieA39BiGk0Q1ca7ITc9d2A0HMx/SG2EM
sMbLBCt6NwLfMWOklMILNkbSEITi1l35SKNG9zm4cVJoBkQNfrZNTQM6CoFIX6CrG181K56vzdaJ
5dKHb7soJgPejeeD1HVqWuyJSesiwRoegX/NcxncmtQa17LSsuhGR1sRttDZjHreo3wM0LFYnkfa
q+EWockLSsYT5qI3hNFEKxaYcnpiPNhfNY3hDUhIG1OsaDz1+oXjVMyM7bhO7rRkZiRT96nrgoNV
ihTG9iA27H6qH6GcWXvR5916pgpduXSYm2o6eF1FvmVhRyu9b3z7rK+s5ikggY4CBHcaPQS9ZTmq
ewdVQFxYFvF9bbKf8Oj6q3IW17PR9u7O7G3QfW7y3MHDOVROYM1HG1rA3quZ31/PCRqcqbELeEAR
N+ZwzP1sKrR/x5PfGrsWk7z/vCJ8A5A1xVPzEv8M2Kp++92yYFgKJeZ7EL/fqKzv1gXAm5w9UL4z
JNR5Jr+vC/Zvno5/gwhWogkdV4W3/rkuMO8k+I5am5MVvI9/on3HNPJhYWDupwJdXVLubB1BoPr5
uxGlP9oa8hSyC7SUOb2t7lePMd/eUfdw/3Y7d3XXYKqeNG7zMFW3fDDUbXIHZSNhQ1QPRaGej4Lg
pFFn5+G5wWXNIyS/PU/hWM88XWPWI/Rd1N+ePAu2do16TD2SPPwNz2f39rB6HVHbDYls8Ic1F+DE
HM7JbV4C6mLAlpjLLNWnm8jwgCmbSRJtqiqDRdpl7Q5sMq0oW7qfCqPnoACRqf9U5T6hQJZdEYsj
CETLllqLjCNFQHFppX1Fj7BOHjS7QgzjG3Ba6QsGjMOM0FvQBiPeCDWAhJE65+HSi51g6ZcmaE49
X7LnS6x3bn7hOkV/TfIf5luZgoSM3aLfSS2wGSrWHklvOc5Sv/PLedE30hkXrhfbiJ+MzL2muwYm
cO7yeEeQ9Pycm5pSYYmpLZaTjh6XSA3fThgGCUtCkPB6q9vaDV8IiUtgHx9w4xsGhT5nJpEYMirW
LH2sVqw8/dwjcBqsefZ3aH/436aqCbcu0+OrtumTR7rt7ZXvti40UsdgotiK6Jb0kAvfaqvhkray
dC8LLez1ddjq5FCHQSnrfWQaksovNpOHNGvN29GXGbI1RyInGQo9zna6VXQu4rIqSPakTiXjIXdj
Mbw6gxe+oqxwtxAWgk0WRyWWYR8fcKuRe59rGOhSL27vI8uomlPN8Iw+c/dvLfP7ysXO/+uVaxW/
hj8jJ/KLfyxazm+6Z3B4+OauMRBPvFu0aMAoB51N28QyGTN9X7Ss3+ipKKai+wdU8fuiZf5GM8cC
dwR72ntbBf9B5wYG0YdFSxGQcAZZFmpk3+BM8+OiFfPUtxEMgyN+SQ4yNpD9sFtKx04PeczNay6N
fnbpAsApMeFbFNN8IxnChHSFzy2I0ARcERHcof7X68fEzQzjcjBarDtJP1X1ou0L/5SX3XwILZnF
e0gY5i1Ybs3eG63eaOTgIQLLAys4pJNDzqJJhIFxE7t+hmY3nLP22S9CZzii4mvsK5iL2560nlcA
zfRgipjYMimYZW11tU/7b1t2V0/dXmQmuMF5pqe6DvRJPs7CJVLGrSP9zJR+cNbUdQL7FvzROhr9
etnUTbeW+hSf2d1EdE4wVyiM/cB/ki3wXxrMAT1qVyClSotIXkam/YQF8hEiwXPiwBXBaYie0rFf
qy5/dfzSYKqV1+IFWA90FPgLdTjsi1m3N12qycfBCZ1Fb+qoU4ZUGthkBk6ijMk+GxqzaD8dgucR
UeCutQpzH5Fpdk7yEyM+o2FWVUvkX1VVb7FblcuGWTfiwoKDtkcTgLMYkydGhny51crpECoObQAj
PD/zpF8u7aBxjzAz530qaGLEJh53gZAVgWa+aEIV1zd5ybJsZQEnJF1Vnv9KwJC29fp5lxkQ36iy
tlPABEdr85RhCCjhVoz3IhLBKh3mfsF2uy0NH05BNy67qBkuUmvslnpEM8DPVNoPpsZ1olXmCZdT
ekNolXVdOE7xmuiiOeR1XHwGjMwAJK5fiqlPzv49gb2dwARz71+sWmX29LM6S/3W9yULbhpme4NO
M5nBaMGoY74vWab5G+0xmGoCV6vrqR99X7I81iUf2zmLCSxm4s7+rLPwO1gsLVgPBUsaIWj/qM7y
+Es/HMCUx1BVbToeCvxXbx7Ed3WWIBu1EdKcTl4XNpduQhgnjFT3njAr8zANafowGdCeva7XjwMC
+wU7d7Qy7H7+5PpDdxPpZbZl1Baf8ZAGa1frmnUREx3oISXOlMWnVyIRW8lFuGf5/Z6D6gphC7Lo
shp3pMoeRpOZUttFBBBVVvocwxzcJgXuIQDq1FzIzx7zKAoPZa2gXFqXrEwlZ2k9rwJ5NX3yTfhJ
mfU0BbnLpBQRTEdw21mhhDFNOYzLUYllxkw/pUo+I2MCPXyHILcIbQ1mY9VbI30dMdaM5ooRI7QO
YxBXXZGvmLeFX92keojGMABj0sO1rA4J5j0IIEW6N2efOTQt/cvQCO/1dDrE0moI1CyubJCGa/yH
2rZzwpnBlLQOxKe468zKzgzC0/dxh7aax1hs06wQ6940g51j9N4ixoN3qHMY9EHZX80NqtkqQyyN
vW6mKcTDnjJWNkP/IrFoyvcTV0eTWnQdY6jAdGUYp5b+82pyh2pfR+1BmskjB2yESFlX0Mp1krWB
KzIK67lTgP5orQ2YJjNlnwzwUSZCW0zKWDnisMzfrJbKdImNPDkSH/mqpRgyaxJY8bph0hxg2aa4
NhnvX6G/sBbpOG5NfJ3m2/wX0D1pyLg+cRRelrhA9bB1lxm+0Ap/6KiMohBM1oGyjjrKRJopO2nb
2qDpi/ysxWlqK8sp44gbsoGTRUsLmHASFN9Y+U6I+HcFjtUe52oy+scKJ2ukLK2zMrc6gXM5Bclm
xvWaz3G3cPDB+uDzMDTijJ2qVYVT1rNs8D94Z52AgnHGTZubzReLyfXKx2dLiMK2xHeL44MtAaEF
jhqUIcQ+4B6rUxvMPrZ10ouVYch48w6R3XrukynMU0EL+dzgIA57fMrKAwEuFgOWZjwPwdzs/12M
v7XDfr0YQ9/eNE/Fc9w+/6yMfL8mm7+ZHr57oSs59dsp9o812foNwzejN4fmF9O+d2UkoZSmT6SV
/+dvfS8jaaT5lm57LMr/PKzkYxGJ8FeZ2Wz+4Y+yQ/xYRNqZrntJ0Mynuftce8FCaQDf7VKXf1WR
q7/wZ9PtzePG3wAcKExfee0+lKnI95xqrCyWiFFDr7Cxs5ihyUvf7379Oj9+kr++jmr+vdtbSG6t
MFPbDDIr7KnN+eC+/PoFzB/bh399BYay718hZBBlSg5kJ3N0F724c5lDoD/0NbqG/ZoJ77LtHyoM
KvFlRwiKEb9yLg/DS7NkbcdiXi26+syxQ7zHKJEEZqYbnAyrkQzJX79TdTT55TXnxnr/Ti1sOAhV
1LWw1pzYmSB9lj2zF0OcBpQzxAEicPvqwvWv+VfPiZe/fgNKPf6XN4DOznZoWRLFozJa37+BwgsN
9nB3OlH+kTtp+E12nsI5YFxRibpa+tj84R56hLuMLSmhw7WBDoNDc4l7W9dmjIs1k7iKjqQKgj4M
aFmbbZaT+WkdhkBHL25qiXE3WnmytVKfZI/A6xZFQqq70+wrxr4A4TZGN636btpG86l34nUespDS
viXNY9uQXpKbl4CPiLm5bxGfhe0tTvij1WXkTjirHgyLOYCqtO2lSw7ylFSr1L4lxaRGV8aiTacz
noylBDbo6vl6qHZTfd8mSLE1CwxycWZ04oossGTMtz3UlbvcJj7Fmq116d92gmB4xCqJml/YcSjg
5dTeSvcYr5Rp9tBBs8nzuVn4dtCu0lCc//obUpKEd9+Q8nb88OCLD4/LEPtt0o3tfNK31i7Yz+fd
Z2sL1u/ULozzbsehak14yHLaWMsDRf2mXI0P2j7ddFt96xzjTXL89RtSD8+vlokPvXmRZdLN1S1b
pvsScvywanCObmr9b5ajn92Z75ejDwueF+dzFoEPP2lEjd2OL3W4pJvOxJ6W1q8/kfHjJf62Xrx/
CD52Ffn8jeXH5ikivuASxKREEAQHrqUztQxPdNR//YI/WwFJuKKV6fk0Wt/GH+9WwBy1hetmlnka
MN0W85deu/z1C/xsAXz/Ah+uHYYJGnqhaZ5woyl1xqAt4fn/zaf4uxf5sMr6o+/ME+rdk9+fzfWh
c26x+/76c/xsS3r/OT4sjxN7ddPktnkiYYxCHQWFc+0nGGfHb5/lfxuGc4yfm7Itv3b/R/3l57Ka
mjiMuv/58T/bb/8dvpaKPvPDf6zfJNlX8rWZrl9bmfGr3+Bd6v/8f/3h78Lu26mCZ/P0kscFARld
Ez93JifMD6Jvi6PdL86qlEfHp+71Z6URv/jHcRUkDhYyxOLu28CQH/1RGtEsMxEn2ER64l96PxZw
f6P1b7oeJYtOGfR+XOiqeordxv5fKo0I/vZMm4Oq6ZofhwJ4u2WdO3jw9PKyCcV6QoD77qJc/rU0
4vN9WPMYazhKg4VDC+n7h/sQeQMnRFfKUyuSQ+x+0vSTDzBU7IzgcujJv1j/+vWYmP7NK6p39G6J
UGDYmOa/hMpHVKU3hZ2/mNrSRFcblu3V0JTeoe/w2zspStPWwfiN3qgOxsBGStu5uKcK53Gk0ts7
FoDjCUHGymhL9JtedG6XSK488sarRkc7nH71R+0ejPBlSVQeRh/ExEnYKCkymhPLjPB4ZMTVkf8c
QkN2tu2UxRvIBtYmrOJyG+CoXMaoShdug1aC/hs4SjOm4UTQlIyvvb4/I/IdREHcn2t1wLeUAJEN
ECHXQ7cSE3wfZ7gKYPNgHLZ2ZWlc9khNOY/uC52ME86QZyVyb5zudw1iGGKaHvvZuhzdaNe7c7s2
yEvi1LwVlXfg9D4uIqccoKA2LTik6VhKd75xsXUSDGUzqLihZeDsHOqbBPbtrgYo3l3NbwWPzJux
PGXs4x0SVFI6ZwYtbTeDaLVqEgy8c4dOKTzkcyJJ9mNK19QPQBynF9PsfMakhAyIIQDIU2vTmPEz
kbUvJDnb68EWx7ESB/Tgqz6tzrtgWCOB3xP9dqmj6i+CmvnIdI4X7Vx6Tbnq5lxfhvZw1vb655pj
qxDEzuTFfEeaYLgI8im9iGVxWaQdFBqaf3N60Mm8XYyVg52mQ3BWjx5gmh53jYAmhkP/jt4woSSa
Hm7MvJJ7KYcOpYeJejCup3MCvO0NWIazLH/xteEkIu+6lY2xMOhfQ0tuNgZg2SCLL2Wh3Qw9Qmfy
JBZEgK292F+4effiRvRFDSe5MoHf+jKXSKwNoNWqipquCMRmckLd72AlH5p+g69/hUsbrbu+KssS
96y4zIOa2L8RxUuXpf31OEXXjPn3GCuIX/fusesuR9duAOVq7Nc4kws8E0z1kbGA+ZypEME3gtjt
X3VcxgVI6VoYAExdHww5yH7LIjddGzAch5dR3B+FncCRybejbq8zt1jKMThr23LXYPBu504Roi9g
ca1MEjN0y7mayKsBhK+3C0sEG8x3n0TDOZ8nBGkcVuLCzqZdSubjvsmwpsWAtq1JO6TtfMuQCptj
1l3ETXmT9AjyEnjxMDwAeXjmky+Tp8T1jmWdkfOawLoaSLJHkjZgYwt6b/e2zPxv73rb11Kx09of
d7n/nzc9JY795aYHFG7x1Hx5ap7+umOqX/6+8ZFSypYiVEOVyIq33e2PjU9HJ2PqoFNh0AhGw3/2
ae3fDHo5KIYdRX1jiPRnnxadDMoWFIX0d+nj/rM+7Y+bBNsR2mIMVygi6AjTm/hQiluRoQ3dlIuL
KH+c24txfHh3WX6y7WHp+mEbUq/gmgyvbAsrls+C/qEylkErwFKP8kLO9to0q6+cCi+yAKto033t
GmNFzBb0aoGcDrf+HjvXrqmTtXRhyTqaQ3NssLaFi1K+JaFURhvRVi8aKQEL0z+XNjbFtkuxCkTZ
yegNOwX61tXWKcxbgg5G3EYhF3FpRxhzNxYpmO1i0O09Pv3g62DrxNLkkQMALoZiKuLspTazYJGy
b64FbU6aGKF2n/BcMukRzzIa800Ha2EpwLydGegmF6HhndzK1daZ19wz1bfWaBJA6QkxXCYjRgfL
LLuN0VjInJvirG/ix9Q0z20kMr6fs1iHfb3LinIHom1eNUF9G9gZeU3x0Ytod85EImg6On9DjF8J
GMPNBtqjBeK9YaIGdqG7cTmHanq1t2rsqrq2Kyp56CqdAZKcrsbUOyTzSBOCsAKUrQc4I0+B0eOy
gCoQ+hp+lPipa4N80SrFqu3tsjA5aRg3yBRbRYH50KbhwZfuDrbVuSjgQTdmf8xI0nZAJTRVvSM6
3F2UAtRNPHe7Oc0um4BzXTtHZ12sP1QwL5AuJgehgL0ZOWPmbDG8msmcIjBwGbVjtJZevJ8yuO52
YsP+SJytXkOdKZ30UQp/PeiwxHTAZahL4caHxWGkHeqL/rMorSVhBhdO6zywyZ7SWFxHOV0XGeTM
AftjNDT7EqV1iEsaaD37nz/ssp5gKTO7AfxJrzXJPuMk/WQE7meatJuycQ7ebG+0sXl0REfyQwfL
xWofSj48bdlxq6FcTzN3PbmoywN7ZaXjeTXQmZB1iLhqKvijXkvyqRssQsd95CnYJHHyEAYqfbvt
ko1GKehW9depTHZel6yFVT3KRn/QNIDkLlkgKfLzfvSXup19mdPgCtfQDM47PE+TJt3SYkcxr7m3
EeOCugLKQWGVLPQcUamBTkSrSGHzZtc+emNbHGKiaPEuk5xiOzeJL+5l1YYbENw0xCv19CTDjW5A
lZaVh/p/ADpVjw3pDPb16AHSlyTXnoFwS0kNt9q1n1X9Ah9asB5ako87Ezw5ya/MpGCm14H3Ba9g
v47Q6JaLvnKgIOZNH7TLfNKCScVOxRdjEzvnNWXGyudSLCzIJMtGU5EEWRmtRIS3MgNvte5m7OVF
F6TXJfgDxqdSP2N6u/CiCQYK4PyuG0+VqNp9gRZvYVgIhQ2zbndIDZN1GMtzxwjZhNOq2BqzDQpy
9nFfKeaRyKp12dUlQrQ4O7ko/lKiuNqruecTB0H1bM/Tpyawnty03rG+Mac1AGIYmkaArXYepCak
w8ywF6ljMz3NyvymtJmjLAw3yD7LtLgeevLfcWScROxBfoECkogVYzm5KqvizK1dFkSDN+0OV4W0
wmUF34g16hDWwQ71MZmzybKau3NMANvIjo7EgXxOmx4mpWqTBdm2GNNHkQQ2KuBuSWihQyNKHwnl
jN0v1aCZIGBQajMUH/Lb1MiHTU94hIWLGhIYcZ8k1qTrOY6b4+ylF5ZZ7VK/vTKg5ywzMPJjzmR5
HuABGO7eNAIJ2pyOWzYR1kBoam7mS0l8dAY8RUbraehynzVHHgbdKR8L0ZEjGGtf4VpC2JRNRjaD
MnlXjjiVVsbZgCzTftcnUb8tRD5tWfqjz0HNK5gyuy2Ae+K0gKMipwaReBLCOrDRh6MuRReOfEaU
7q1dl7C+oL3DKsFKuZpEgL0/rW+dYLr1Cnu+n4MiXmYSwpctQ2PhEh7STZ62rXRSfbAflkskCMgj
e1veN3HmbUZvimcFO4vYlZgcir7gKx4gWXh5A+yofHB6QgsHEntdcDZtCZHcPaT1dKdDuuhjmBRl
Fd3JzLz1ZO2fjdPY70staVZlkE2cZpJhUen6A3QBa2WNor6XTkVmRYnnJI240QlhxtMXWPcmIWo3
gWmPG08iCkqQPfzNKfFDA0YguUOKS6nhw9fGmP3xjJjnjCvCpLjoUmJMxnlvc4gamnbz6yrgYzv9
99fh6MuBzuKx/1gEdO6cp4hRLvIsO7aOeceqRKpH/shyiYh08vkCpmzXj9Um89Jda0bnEY4PbIFn
rFTn9EXReKRXUSCvHUafViSXgJYWRRi8ltLhbMojADnnwtFDyrU/6rqfFDA/vULokeEDChu2Pf2R
96doO5dl3PlpcTEw1gunWyW5jcq/6dB+8KqjlVRoQIsjDHBClybEh++hlWk15ansL6oQw5XmiL1F
A5/kqZp9o+8ZYGr9vVZl5VXhcw/6+n7w8AGWE1jYwNKv5iTnHDXLK2YW/k3BriTLniMlkmGiT9nK
zQTOUhlexFp84IDPNTd5bpx8oNmNF/YabsdT2mUAUkm+meEzBK3hrKMsTtdpZz1rSPJs9CpMVmsH
fphvLMsaL0sEsIStiNImcvb1bL5ie3niZLWQNtbH0c2OJCEhM3EnbacbQ3LUIxju84j1m6lBTCgV
jRYjDj8F0shv68Fm/zDCczsn56Z1qm7nGMOaAIllzfyetrybrivdPIEcKFbjzBEWfNp5oD9JsZG2
u2ddfPA0nMPuYOymREDwaiLMQ7hZKoCvlqavZkHpMfKY4dAkfHzU8l3T5Tanx/HABOIpjc3omZ7F
VnfqfOVm0dEsmQhYbb0hWcWH/jZe546TQaHhTOvM41nttn/THzd+ej/wQKKfULM/WlM/3nWBpZUF
P+su6IA9WX6br+aqzy4cRvsL1tPHsKUlW7TR0nDGlRe/2fSzI1cF2w4JkTszbI/gdRf44I526d1b
oog2LXmfGyl1sacfKjHVk6faE6a11kuR71AXVavBiFWOj0Y9wkJE6hZNGZsMjhxUCik4JbuBJHgN
xVhR1Rsnn2l2Ok++6q32RukSj2PeOeZE7QxVzuqMFU4XxguETQM1cO6x2+2HwHwhITpdVAPLgJ/t
nGK8DXy4c32zrEvrBpMgdwj+m8m8sfv+mCbRTR3b17kLKmjq7v8ve+exHDeybdEvQge8mcKUJYte
JDVBSBQJ700C+Pq3QHW3KLYuFR1v2lMpWIWqAjJPnrP32naW6S51oxyYDZk3cTMG9O9Gz17dWRqB
ujKNIx9z2ReJe8KrHe1R0aQHJYZY3fSMZGILvPAiwTieqkDR260sp3unHAOVVFx2I1/PetmzbXG0
8OALZWRMkq+wnP5WW3Wi9rTv0Ppie3lq0LKXlhng6T/PhtLPIM6Cgj2zSnMj4BjGFtlnCQQj1Umu
slrK9mDgg4oMWzMHYVuvAhEz4lzCwzhKzpVo+hfomiFGqxWfhBW5HzLPhAytovdDDHRmdto20ZhL
2UpUBHq0eAAxazcb0J1hKc8UcV9VsF2k5JJ0IzeKSRDJpGPBLh6LCJNY/jjW3aaJ3NLZ6zT0FHbN
PBRkBxE71AJ/G6QmJedH2qbCPi4g/SwHkbFQIuF18IjdBS5aCrQZX/ZlaCu7qOyxwjVn5Ypr6vtc
Io5oHZDl1kGPxLF+TVlezXZ40RRPEOYQ17S/Ok4JuQl2pgjora2pfZemEVhEvAv7BI/QnDeVvgut
8Z4mDRYt+dw02haujn6WxoJApDAMj4M6Wl4HBsSzsMvB38AjTd2wI4m184kr3LUjVYhV4cG3EAuP
Yav8Zmtbn8Q3s6zXlfvNk/o6e3vbZY2dGUdfNtBFpafYnReo+6ZxVYxfZO25wonl4/3o3ezsH+/3
bidVY7SdZcHKUFXPoJjH6RrOeRk9AGz6+I3W3vo/Ptmag0KuCzIuOC4/r0GiA4dMPtgE5nmOgjoh
nCcJ1RUPUe3jipllNo3Huk4wi8B5OceHYbhmWqHmTAFNCV7X6xTpBYPu1VRqtjtqwycpqS7I1rzJ
Kd849Xh9p95MEfk/ZR9t4EF8LlP9Xorz+joasjEw4rjfFsZwNFLZpbAIZngUHiXeFm6ndY+s4qYm
W4tOymHQoCRoKmLUeW/UzoXIomPLtm2RNZWpJQ+ThBHV9qZauS/qNkjycA/7hHTlyXZ7o/iyyLPh
5SJ6bAi/vlejlSvaadFvvtWf+y3fN/q3X+q7sVpm6iUAGXs62dPnePk627+J/Pjd67/bOGQpp0aO
svmU2DcA2PEe3P3mtvj4rjDf3X8MHjM5U6P5ZKiXsLRcviY5nn8zTn03tHu9yXGoI7dWMIMx/fn5
1pusTsTA0OeTo3pq/9SLgprkLpms3/warwkoP57e1/YXOfWGwlaL9YTK9Oc3mtMEd+FSqyfKmCc2
Nf8234Q+zAc38e7d0r3fE9909vU68eJPU/CFPJivPNHdTtt//K2+0p9/XMj3++LNMvI+qsUZE6d2
IpaRfjP6sicH082wLa7ijRM4Xk7TfMv3vFE8pIRuHACSxflwKp8+vgpj7fa9v4q3d+e7eSxc0dxW
IaifHqa9Glhuv3EuLZeRlRv723vDOzP9Yuuc4s20K2+M3S0C8+20Y91zl20F/8andeY7vnQ27Mpt
dxHTuHcj/xPCyBMs5K2xd/bVUezau2Jz8/Glv592/XnL/Fit3lXQktoleS0l3Jdu5dab7rne1LeK
D9zED/3YT4JyUxyq7eXTWTDsDY8De3oA93dIT/hHvTAwM/db6H36+KpetS8ffKHm2hx9szskSTW2
lslVxXvHjb1lV2zD25LRCtEALi5el1BdN9/ap2anfqaRFnz8/uvt+8+3//EcvVttWGqkuavn6SQv
VWAJcVyk7DQOcvWbTWldVT56n3erjg2eZhwXgn6pqd1RPMnTToA7hNcgoz2vNx9/ql+vcX9/qveH
Salg8TeadDjhfOTkd11HV/+/N3h35tMmkjRMkpJPmXFUU/qAzu+mwb/5Yd6H9EhFbZcWCXenqj4h
zd/U6sMCVOn/9zHeLW6dknfpaKX9aVp/FRi0zvTvw5MQNP5YqK13N9iAx34ou2I+iXHyEhK0MxiF
xeXHn+M3d5f1blUyw0iaac6xG0ympztlkOX9hUbUojV3XirU0xglv/nqfvn7GDht8ARpa874z88t
0noNvn4/nPTipU2B6RPaaG4//li/vI3fvMe7hyaPnE5qYn06GalO//6qKH7TVfjdG7xbEpesmLS0
asaTzKJNMzrT8t98Ta/740cP/rqhvFnf4oShT5hzH3M2cDEXHcYdiGR3QUfmxUF0MbjFd0fIdwnL
5ffXfgsqhkj78Vqzfuo3b4l/EECHGrNHPdAYJofWO494b1d8Uc6W/eheLl7Nf7hGUHhwla8k97oP
1l398rG51A6c2kEHBHPv7kov3v7u8n65kb95Isz3d07SCpkcYsDuF+tGLrm4sPV9qXhuttX9+9I9
yO58fJG/cjhr7+ajcMVvVi91XZ4++lHe/e7g9c24cWZqCX/0F39eXNV0nWPuXxMGdAao1X9UN6Fb
0rHdtNt6a3vSb1bo313CK4nozY8kTYOkl6LuT9Kxciefzmb6zdgovnUcnqddHRRn1lbaSi/Ro+ZN
2+wi8tPnj5+ud6LHvyrtH7vEu/skG7VC70puTVihGwLX3GSt6vaZd0v68X5PNq+7nMhquSei3i82
9da6hLzoD0G8Jzb1c+795nrWwvgfv8qPx914VwrYksNsqGRJaQJ9a25NuMKbZbOcJUfFfYr2cDM8
e1/vaOqdTZ51F6By5Sfqt9nmJvHXIuHP4uC/0f06R/+7xfuP9Da87IzuvfzXg3v+9K/BPQYrFcka
tvP1V1txpG8Va0zNQVTAvyDebXWr/2Wwsv7A+m6umn39lQLG8/+XmN/8AxeppjLuR+KBJvFfhbj9
YrBuy9gJZKDdhsG7rRfxdiG0lEjJ89aoLlSb2QqYQUygYp4JPmb6qE6RQqst2+TavC+LEhu6U8aP
hWMdijHZ2E6/rXLoOTibU0O6WKQwkJnBEG5sVWd5YlUXqGI+zbL+YDs1OLpuBUhLfTDO2e33LOie
nmoW0YWsUutqijTiftslrWXm4CbxuLYh5ECZ5BPpX6MP3XfcxmGMl8dAT1TKPan1CoO4lAmkEpH0
a5O6HFYJAFCj2g2mKHwp1E8TKFKiwAH1ALWjgzX1kz+O8t2o9D6WskCo9Hl6R6dHJkPhMVrjyeRz
enXB6zYOWFPIOFAyJ4ESvkyfHCDgwRxWTIeLeI0Xi/fIhcJ9XiPqkYspqEpsQzLjqaNhSOIsTLCU
Agykf9Cmd/guM1fKe45hjMjBaHvGShMSi77pzeG2TRrGU1lzZ1rRRd0ogpaFONMnuI9aEw4k9pSD
X0q0EoUuN56zQrmzZjiv65SYu7nKN0wet/hnDwR3firSEaHqquAXaMcXGtqWRjDMnCXfRkU7j8rl
tKjF6A2WrkHFaR/yNQphqNaUrfpsiG1iDmQV8XE2eNKCqbPK0P93Vaq5dZ+SL6CahDSYV1k405oT
nfDVJQoavbA3QqqeGhU4rCp3J1WDDdZI20ouSDdLLlAUHjWN4TvL67EZuWfCobtsErN37YyvRh7n
IdBXjUIZeV06bJtGO7eMGDm5U0leM6YV5lhapbW0bVMJrXTVnS8Ymvn1SBEabPNaNdVzh2FH0M6U
lXqh0z8lP4nR6JK4ud4jqs5kskBFGHQo+SeS0TZjWp5Hevh5bsZ5k0v2Nuo00zd6+ZPe4HjWGuYM
JNTOTW/SMI+uIqGcKRN99Wg6NZ3zrTVF7Rdjx3fYmfuoSRR3MY2zfuguEnrY0lVVWfnyPE95trOK
VQ5SfwJiRnDSQiga8UXnJUOcQ9o7j1UmX/dG+82uZ+zK+OuWaIOU0q87cXB6adPK6rHK41NSVYcp
7U5llV+OJaNvOvuwxMNB7M3QeFlMaUBEKTR9mwz0QSFLjcuNai7nUYMoUWFCuYlWoaLQTN5X39Z5
uxWrlBFVAqQw7bI1HrtV6lgMzl2JyI4Z6rFVW3STvbEXqCOjerkkm2MXjokg8XC4YrGjUd/7qmow
gkyoq0O0llrXnwH7IPrI7o8VakxLsVZW/80C/hY4FILNeJVuqi3ZVXphlUT6KGgXV4mnRt3MTCna
Nav8U12FoNUqCZUG7pyyVmBerILRglODjYLU0suXCkVpsUpLdTSmCwZ2QyG+cVrlp8YqRJXb0HIx
Tn5lKhqeYZs7J8ibZUKWLwk04mGwGuUCHNWzRs5iIC/ieeiYhRTmdA2DD51MOX5G9rFpdPlhTqxz
KMMbRiyMexG7erbe6UCwovsSxAMuaeR39rwdQxK/6/bSSfKjbGL5WxWIRhOeUosxVmJmu4qgxoMl
GXf2EPq8M1N6R79VZENldA+2d2GEFdRTOgWNpJ5PPAaXVuVcoyXdTbkOSzana2wR463WKcVKpcH3
sXoEQVYCELXTPSdpvsQNJNt+pp1NslUARuMlcp6S2rrueu064zthH1BIpSxzhI/2JXEHGzkGLByO
zEzqcAVWLwIn+5hu4wbRTpLmiIJ70gF5OdsGq2oY0SE3olOc4i9HuTEedUkpA37QeWcw+5pK+q1F
HftRlYC6t4n2mVASIDeN9lM1eaEEzEI7xrAUmJhYn+VuwYtZEJE+6QZOqGkjxc2NmkCXXubWi2Jz
CCZSBVwn6p6Y6ifASrRta1hwQ5qG0p5ZJaqxm8GYzmA3pZDpm+1AKqOR1SdREa5UK+Ii6qdrea4C
pubzBvjLsWqcnYS2DX3MPGzEoD5nzjAhccJFGlswfHNAQa9lxH/1lM4B47f1FKyCX+gg+cs35ZQB
bsXA/kgF9GpK/1sHqQKFt0wc6Sv/C0nk23IKhfZrMU+NszZIfyqnaODCMsS0TnUESf4vJ8Sfx0hM
FP/zWMlE8qf6nFcCPAbjwzSp6az1Un4up5xQYhKH7/uinJIKFJjZonMjzCKfyvuk1SB1p62CPZh8
iTwD1bsY/b4xlJeRjdGtikIcBIAOmFYoKXp52EVVFDCYQhvWIpmvSoZ5K2MvtdKvImwnoDuI3caS
bIi8H0ucvIZNq2x2LlEq3hmt3bqN0GZu8+WMRtFdFPWglJP7MNVu2YbLC0sJJa+aqDIGAOeBPCnJ
ocgR0OhwMTPHuWI3ntyJO1+R2mETqTwMJU8FBo1jWk/zRp7KQOqmawoVwjt5kHKpIXuPJ1Vvtsb6
qI08c4XV3sTrQ0jK3nm3PpZRr20z2YmByXdP8/rownodA2t9nDWe6yhpbkiC2ICRNuCtkUbXtsl+
ZC1QlNjyxCRo2KyQyoVTz+vaMUE9XVeTiSmmn7drRspyHb6uOOvaY62rUJ4s8DhZmAjnPDjrSpWy
ZC0sXem6hiXrasaStBXr+tasK520rnmE1RMGvGibgeVQW9dFptJoiFgpe5bMlKWz6r6pLKQWLzes
K2uyrrGx0n2Jh1In7IT1V2chTtcVWVvXZnz9LnAmzH/rum2ygNss5Lgfq8umUM6bdY2X19U+Wdd9
HCzqFiLarb7uCdno+DabBHngzoFaiCgA9g+TjURedxSSajchW0xX9ZeCLafPoSiyBVXrXqQYyb2z
7k7luk+F647lsHUtbGFzMz+obGmUCJ/1dY8rtPGaYgYdPdsf7zwFExviuO6MpNRobqPMqFPZNUO2
T2fdR0et/aqsOyuaXHWfrN6PWCqsoLFgMQVz2RGCsCCtwivSpmN9ikbJOtSrk2R6NZVYrwYTrcZz
aZg2xY8tDqOhuXZobVpwDCv7aDY0UmvC9tHRCSNDJokVpOYtGNzXAymqgobeYPAV21G4lYp4udPq
SnF1dRbEf1k3dmMee2V+zuOGbK/MuM7DODqayxgsxXhSY+ErxIAFTNmWVR3xLV1qZ99X1jfMcoTb
2UsH8Mvp/ErprhD+8RW35yGGDN8CwneoLIpapu9EHutBBHqOO9weXCjf/MVEyjKzopnRd/iS1+El
ArYBeHgvX4zxQCztgK8wXPJjA0EiWGSz2UUDmkskl1ZYHkSqwq5CTJuCSIVE0PdnsS4hP8a6+yzL
YXZbyXqNLNUm403JY4TF/+1O30kq9Bw/2J3iL13/5Rc7E3/1ZmfSFAd4B1Wt7FgmTey/dyaNIHdO
2ZApZdrcb+BPuvIHyG42pXV7wqMm84J/HvQhequUw38q91dJ17/ZmYx3nSx2Jl1nc2SbMw2QS7bD
9vj2oK+ub17nTU6iukXKgo4CR9HFp9EySZdupIs6xixFmXWe5erEOk2k8Qw21gac6I+TjUIuOQeb
f4vrhbBKBesx3FpC9SJWblvb2flAxkAYQLDdCY5UBUnn2D0Ln4H7Y2f04KUFJ0Q02t1EBWql53M/
PBOxGghHC3oJ2fGs1Cx7+hPkv200OwlyqYrEhaQYdmnd7lrHIdszIkfU2Cwqsc2oslxIL2cmTmkL
95tQEfTNrZ7g3la/5JADVFl+iOXR2FhhOHg14v1tizbNg9SF3NPsDsaEDtwO62OvSjtHS4MsTm/C
kVCriVN3MNbTVamsXGe73gizkHcFF3fULBVNrC14MEuldFnfLhwt/walut7ORAO6ScRRQ5rD2zav
eMyHyZdLIbGYpOeZPlV+AnYJyHOde3FtYRafqhmtjh2ABj3ERl/6kcjvOPxJsJFKyuPqKibC1y1h
0SjIil00XedOqd42nPRo2VxheZOCYZFmdy7EVl7sF0UCayup5dUU08chuvgxTZVrxnisSyESK7DE
hTeb2u1SJI9Z2fgiZz1PbFxbWpKc0Sc6po380nWLuUP4rxO8OMwBUHLEcqF2RRTPfZxy/RGpupAG
AfGZtU7HpSKlvtT0oOiG5yrN9gh0fBGRAJsgIJ57hf5IwvvIePjn0CmpaOIHks+up5bw+MquUQpr
wzaKmMk1ZT+7PbpCX0DrRTPYO5wZMn1bVMNFVdn3hhLyu3e0KpSpQbRePypDckbW4VmbOMlewlPh
GSYbo66iaHO6WfUKSevdtK+3oVadAH2dIQmzKFk6nA1dcpLT6rFJm2TT5KjahqT1J9IuTMGFIgpi
up+Pu0aRL1W182pDrHwu2GLRsO/K+m6Qxm3VledxVW10c3JQGyUkvnWjQ5iC4ISbo2C25fGBTNPn
blQ9KZ22Iqln8NxN7pbmKgHmU83WZdWI3suc8cbO8k0vHxp6zON5SA7nLDtYEMoLxSgv1RF9t7Fc
SIPp+OM8bokH4tw60P6o4oVGDA09k/qGGzQJPVMCwN/gCqxKXhTxT+0hhS/oIuFLK+TxJc6mzJ8K
DTn5ag7Tsu7rlJq+qGz4QtOA+LghRWhwnK1SGvtYwcWwhDpnMhXnoGuXDoYGaaJcnbTQQ6klNo5k
c36vVU5tcX+owizdFKNOjHKP0DLOvlXa+NAsw9NiiRQ5G4rLSBOX80AjC+bY6M09CaIsRyPOm6FU
CXWN8v7I2rMi92vOnVPTqECz+71R4qfbaAOa/jtS7m17G+utsh106DmoykoY2BYpnIE9RJMS2KWk
E1Y3YmbaEcE9Y83QCHg7SWUxDzeOXCj9jXBaSTsO04DUwCjz+AHavzpeZH29qyKKvzrFyFjpmU66
qRG5DYRvpY2uu1Abib2dDrpeDptWaqetLZlHw5oSn/arjs7dfCLBtcMXaRKqk+oPmUR6QDyOOA7k
xTxoFTdzVtpQNnRA+7NRfa5D/UuctuSB2ph00Ny/9E5MZyBeo1BKobqyPCKN7HExzdl0PtedPyUO
A8daOtfL9koKh2NhV5/pz7wsWBXFNIMooq1K68bIvU6bDjF6J1mQimvVX5KsIt0oxNujAgCnCU01
1+PsUNNT2DlnUjo/5rH6sigyrxIZL9lYfIJd6UvLQZ0nslCMFvh8e52tLWQ5JiFp8qf8mMfWuZzl
WDWm6gt6mX2saa03SYxjm2QpXW7Gk2mtGUyGw0lEkq5orKu+sIwFP+pwjrQK8+4UenwL9c4q6Yl1
ldxvNX1kbSejEIWhFSz0i9wylG77zF+M6F5tIQPauBv8WOJMZWeO4M0hHa1hNtqCBHkhZdLXRBIh
GcRxW0y1CADzn9V2j3bcHhFsK9ZFIspzOhFkNJLi7ZQQaYqO2qz/YjpiDsA93cycfKggOZ2FDhuI
kQ534UB6wSDKe7rkh1TKuMZheUDOj/9sMHXuAULnwKxJXlv1z53j3LFAb+Qa9EkR9/CztB2z17tm
TLZSQvIw3pk957nL0a6vHaP6mrDRuRxsT7rcHxGeh4SB6+E2XJTWM+R2H0kjW0IvIpd4kNSNs2zv
GDMiuoh0eFtttp2RCC/RO/xOwyUewk2p9p/GQtnVGcnbgNe4AQd9CjK5GANZsYFNZSFDt4j/tTiq
+GaG7UKSlK1JT27f84V6ICYv5LpLXdvqD0PJUbAx6Wl10x3+NDnAqnQOEtHcSMkSbaF6HXPSJ71Z
UFtDXs6PkaJemgrx7FJXNxCs5GK/qKQ6INUEjk8P3EstENF6chkPKQ74CgtSyTiARY4FzhC7pVB5
JAz7UgWViMKVmCqzmp4gxdyj+CA/0XpCv/00mfKm7givyKIHAPmm38P7Cov6Qa7snaa3NwL/MUpg
T1PnzJPz+Ki24ssa5D1Y6rOTQbkckqtFscgb6uWbUl8Xcckg/aiN/2sKfceurmynD8ru5Ln9pTGW
v/q77JbJDwQV7QBpfw8wJOaWlORXrwgoqXX09td8zfkDQrRtMXnDHqMZDi/413yNaEFHgeKwmkxU
fZ3KvWsAfdgQeoVV/RjYrmU3UbpYVugH4ZCFmPVz2b1ocRGrVSJfaDZehrBY0sBUPlfRN8Dti8Fg
pjXLs8QeV3i8o56Jmn9vCakzlfJiaOoNZrjrfBg+U4l5xH9M2y6LH8rW2ELLu9ZKm5Bzhh6d9aiY
Oja8CW66lR17w+qoaPCNq9FAvFx5Cz6pcQdHzr2mYewlJ/Uj+HTWWvVoENVQKM2XBXqhki4Pqi41
XjH1lKK0bKfU8rIl2XWwLdy0XB7IQN+JOEtwr/Yr+OAxLcq7xa7OnLR5wHRckKCpvkisegDlPuEX
w8A4GJvWkTaLtVwmDjUmn2xbO+ngUVoxSOlNVwvZ8axQ7PuECYHEIhURxWI1DDq6kaC4wv7UCA4m
dT9b+2XIFFeE+jGVc0JPhbQjcow2DaLY3SDN20pHeaiMrqjNa1EP13NftHe5MX/Ja7oyJqGhUSzf
y4VxtFc2cy1P51FWG66IcOAaabnrR7JMp2E46nq3hxxJ4npoHGblW0ciRxQOdzOTSRwswPY4B+CX
xdORM6HKLf1Zs2jBOIZy90rqFjKR6xL2/L6LIpDSo0mTbd6l3bzFGxDUY3I2dHxnUZTrviDr3Wyh
TPRje+oncsqD0EqrbW8woTn2VYKnQa/lfl/ZTDp7i9B3Re3T1G0quaVue83/6bo1CygfG8FkzlB7
1ug1LWh6TQ4q1ArnT67Tead1z7ZJVODQ0JQheKhcE4iYl6q+Rv4g/XLyiTQh+2LpnjC0MjvImpe1
90npzgxsTTey1pyjyMBtttSEKGrWSYpVAtbVmteQqTWl+CGf9MdyzU0ap/GGBg25RGumkt4Y31JC
ligZnpceuMBI/FJkEqmkEciEYpyxZqce2zWrCUijFujGSBjlmuPkZDs9bh/tzOg3mqTngUHo09wz
aqh1M10zPL7BjoB/kIuJO4dzQ7nmRslrglQeSafoMR/9kmipckq/6aRNGaROqQwaaZMezRK4Z1Vf
jRpnU2riu1rHuGCSXJVTQMP9pbUpm/fhSic2+Bcbr0S0NFcJ6VezLnVnonssDaMjGFCqjsDfl8Tn
pSZXtjJfAvBB34aSXIpxR7YTMZaCXzyNm2synKN9FsfHxSxPS1sfprJ+If+i9XJ95DDbzFn79F87
53s7h777R/tKlyVzNfyiocPf/b2zKESqYWtknACJEPrZTw0dsIyAvr/vHus84c+dRQdQJONUkukD
MKJ4pTH8aOg4q8rDdqjbVy2I9W92FsLV2Tl+3lmYf7CFrfQGk0t519DBSIvhrzWry6mVKdxGXRCe
pKNH0sUutqhwx5k08UEW7D2aIR/lvKBZYSZWtidWvXpIirA7Z5zCPEvTmpuUgnRnTEN3EllYf6v7
1fieszzFuTXTFVdmwldhsTCcoLlw2bVFf9GkuOMk2YRMgMHUxkWoACktw/KURbVDdlp8zajbuIgU
RTqoUSy2C+Txu96eDR5BZgJCNYbzvoutPb4ngPbWIGUbxSDNHBMeoBetU59xQ+cPhpyXu8joeJTr
sPsykhcTxLKdBFbriK2VkpUyxGN9JWjc5kPSM9OOan8Uik6at1Tq41PVRbF+VMpwmfHuVtmAkbsf
pGc9ctL4FBM01rDId2V7YcW0IaxImeKbOHU4PYgBa+9CcWuJk02cmOnKkc5gggAsYVtQ4UZc0r7B
6TQ5mlJJGwZU+fw1HdWmCFThgCoPp0dTrAhgyTIqLGNmuWFoyZYymPNNL6rly6rPQQejJjI+KPaV
JFKcbViP0VfupMSTy2X5Enbx8mwm00MrNZsySg6SxWygUDgrC6Otd1ItMCfbyjBvM9zJlNL9fJZV
U42EwcmY4xSVlFNoRAk2vl5D3DIWNGyy5l63EkY3jnKnUfjvaqmZ3VgWo2vYLfbJtDNvbDyX+17q
nbtabswTFHXZZzdxZIbFRnUbdjLkljF3vkqWkA5a3ltuPRUXkNolv+3HaTtKzIkCkTdN709hUkOT
rLo9zOaSuDy74/y5mJ8j6ml/caz0bqJdcGalenqOwDV9hKpQeWKx5rMuW6rHZZikIzdv5GkWATpA
osIHeynEXZm2TGCqCehTMtWX8UhqZ4mBOfdLXceD13W6QnyXE/c0Io3Oj1pOHl5UGibhMJT12IDJ
fztYk9CumN7Z5EdVpvJcV/WyaVbUjsOZwe0FNqX/1uLXtdigE/6/1+LH4esvGuvr37xZh1lSWeIA
334XvP1orCt/kPNCOBQ1/ruRr8P/ONTdlqy+j4Kx/3AU4mXh6IBFQPj2rxR0mrxW8D+twxZ1DdW1
bhE8w37Bpb9trOd928toFuSLPq0e6GmSdZhp0lGFgkH+tFLD2RaI0UrdOU0ZBI+KISWWNf3QVgZ9
xZJ2T6I7xlnbMtPR7QzMhDC3oxhucnuqz9tF8upRJtbXflIgaPmkQwEFRx6ykOzqkPCaWGjroDtt
hxVKWjpz4VlCvxPkwupJXN42UTR4UV0/kSGC8Ka+axW9RmFD184kXzZfg2arjshZMhJ30xpCGy1V
XF7Jmr0lk1u/lDTzGNIFDXohh14hJMxNymrjzhvI1f0Xa4iewsIWG3VmahURBbGnHQhEtpKuEZDk
lw7TQJQzqOCwUsNlmS3LDxNT9yKJrmoZEnc56W3QOtq3LjGvYqM52T2Zj3WcPSSqdttXTu1Lqfpc
Z8YEnza6axl2JxDKB9qayH6UXdg432Q5KymlYvgT9O1lVg5TfSzK6Jguzq3ClNY1lr7ieCXf1lZK
hjk/Qh/XvUfEHJENPRkPQwcJyOoeWPORuWE1paNAD1SXL+1cVwDZJFeJAylLKrDOH+YZoMxMmSZT
rsmUbfaSHMe1jtPS7pq2bOtOhsyW3BadZ1H2pWaOkbTOybViOYbPxqZTOipzZocgnowRcFsESdnZ
F45az9scNp47mukeOJyDiqV9VptRdklMjK4kAn7dJTHI8h2zUzOrLzkAcJPzJORzdDfOKY/ho9N/
yRjPYonHnphtypwY7SirLmK0jTQ17AtkegxnTNbxaK5gA6ED7JTqMLTqiUUPCBkqPaIqmMArA4pH
xcDSO43EmCrDZ7OOP2UZ0sB2wFyvxqW/qAgiO+KGSOFLK9fu4PBzalHC6mvBNHYgNuCgl9KVYtcv
egz4Ip62A3Q4r8zM1pP7lgglkr1rszhMvYEzWbuYleyCBJ81SoLutVyl97II74xC6nbk2QP+kay7
to+glyjqWVirkA9sWDBNU6RUP/J1MfcHWSTbJkuvkyQKzCF/BAT0FeR/BZyN8dbcjSe7zQYf+R5R
9XJ5bth8uYYuHYgTRWctrxJQZ844NFhnDOWfbNhDftfP97WmUmgp2MS6BX1GT8rkCurIiM2kFyef
RC6+xnzXganVoVeaSeNWav2glfW5U3WBaVeblCoHRkX41MtiY7WcsqVcNJDlqgpm/QD5I2u82QEr
U87Gt14Y56LhIFzY6VkTtqqX1AWseVWFo9B9tlMiFTmPK9nySYFCw/UhMlklFMI5b1fZFRfsR8so
QCRk2G0nSsRFvu4c7fPcO/UFhU0OQlGaDlI2S/uqEK1fUgWOGXoMyqW4zq5tszQQxyLyJFop7Pah
xassbWzsCksPgE8NfqpJ+b4o1KtUVkvXpoIFvtCRDVBZmYcpir6inY9ozKyLlM4/l1flPspeqArR
dEVIqeyGhvzE9PFPs9F/Aivjw17aJ3isw6+aaeuf/bXVKja75tqlIqYL19Lb6GkAdHAJwaQaRLIR
1fimmab/4cgKtBFE7LR3XjVZfzXTtD/YYlWTHXKlrK7/9S+aaat26qeNdk2xRutES08xiER6J1Wf
ZOK02rYcTgv9WHpLa4OLkWXxvRD7nyIuALD/fCMUYbquUFuoqqyvF/LGd6IgpWrMVK9P8mA4dzDa
CJQtyD9edgjPDPRJfTno+64Llxv0jUxETUW/T20reqyrFEA5w+ujQuY6ocmtMV3Gs3atzdVIt3yO
yNQds7TTPo9TY9poR5pxRA0C5WHUyXg1MymHxpxDck3qulKDSuQDih4pAvmVdGH5kGSzE/wfe+e1
20iWpetXKcx9COHNxQwwdLKkXKok5U2AMhne+3j6822ZLBlmdldRwPAArbloTCkVJDe3WftfvzGI
cZBnVXpvxHq3svQ8PiWLkX6skkcxlgdur01jMEUpFv51VtBl2qncCl+7Ng5PS2F1l+R4DPjOmabI
jwZmeGnhLSjiv1kYyaWY5RnCNU+lqwqfjGBkECwnobeXHLrDUGBVlgQYNimzeCh++CTeYlq6UvDl
a7T2MhamEh1c91sr4n4iFMlLycpLKNKGeRQHJGA4CbSrkb2a5oH2Qw8rSDyuTyJeXaDraYm4C2IJ
p79O2Ks7qyqFWT6qdjvzglHdr1PralCkGwwAihmuFxDL6tpTwRXxiGVauFy7gFvnUC94BPRVhdPl
qtRrrZ+ZdupfVPCOMAdUSvBNmSijGHGtpWOxh8VXU850qaQrC32sIE/pyJcUZfWmxn0hDr7Vn6ks
so9zWbBBMLynbMTXEMXI2ylWDCVVGd66q2qerDl0lEt8YSc056f1QXpAowOAbs4FfE5czcQ40hfa
HIL19F9aZ3/SwSFchwzimIYhw3+0PxSvuPF0jVf52cpVvSNCrvtphG0Yrio6vS8rcuZF69LDVU34
3q4tLz2rdI8UviMzKiAQWMgpXaJuOA+/133mLCqVo7Ku84Vrj98tA0Ol0KVCc8f+uogpwNSyGKZW
hXKgx8IFYh0NTcPv53BJ9juFrpQ7TgtSTsHGnYNRo+HDwYanEnVYDToZOBQeSXoQwkjI6NFwWOfz
rvNOVBhodE2h/7U5zPQkRNDRFquud7T9wsN+BBOGK486nG7QsultWUTs7csRE81yCtrRcnj5+6/4
/SbyohwjxIL9kguI5nzYRJyRi3+euOVKbkkcYCNAXVOSDCYF/tzIQKv14l+5TG2WDb55zQ/fptSD
qbREtq4KT7sl+AsI28tmY2Ud6EmDmatLkWeiabGAfo24Qiyhp8PJiO8ashzjJAvsGzkA64Dz94NM
9gXJBRgXmeeyO94bXvE96TD2KQis/E9A10t/i/X267vvZb0GeI7XTbUBieQvX49lVd4TcS94Kvy8
y/6klgFSCq6zDlVMBAQCAr72uEjiwpRCJTwQOhLW5/zq9VjG9VyDDSbMwkwOVbhqf+NYJo/w42aG
hgwhG4cf92kiYcQm8+a8lGxJi8o+zk4b2EDjMlRzI1wpuhyq87pO4jMrKNp6msTGysiLM0RF9zpY
4LxUk2+tgrAqUZKTQi1vcX0+iqv0IuBsqSU1m2ihu7QNY5n3EMFSq9v3tNYj5iE6AZy6HsP00Qmq
fpK1atVNIzM7NzzylxNcw33cthpMrGaqji1kXIdLsD5sJ22sA7U2Ve4IA5n0befFxMm3tnIoW1oZ
HKmRWXv7kSJB/ZRbx2QryTWiy10J8txEOPZZ5JnvF5ZzZMb4EH7T3Bpmr5t0YTNzHBDGkzIMqtuw
c+FttVqiLtqmDcdp3YTHVpWa4RRrlQqCAW5WM6eyS7i7qdWO86L05GKegDh7SJL6u4aExkkXp9dW
bjSE6nXk8TnobANznbtkMlpdQZ1sx91Ca7IlkWTFVK1q5Bl+MC9GFroPrS5z2ytVdv+UyvGwtqSL
Fv5C2naHcGZnrVSf9J1BaILJ/p2b0zJWIYgF65y2BdEaEreZZomnEliolB/YPq6SpaNctI10aCrq
HJvwle3lP1StJH20O1CC+giK3IHnFieeg0ef2q+arLyTh+rC8eMDNTSvoDTNfMPifPNOTR80jjPh
Ms7pI6XBLM7l/c6oLsoaOkZP88rUrxOLG59jrx27wruxa6Z2oqmEYfxIlWyux+ZK65o5DCX81sep
ggTMDaozJ6pvy2qEa2HPckmZY2S3GrPk1EYpByd8leKXX/Xq9dhly1YNJ3oiLu46lB4oS76/Ct1s
VWnO8agZi6auj0Ij3M9N+btqhAt6lctcq++8DF9Q8dV7FpTIUpkGibJvm/0JPl+16LOuGpVE7CJc
laZ6XsA8rkfpyvC1w5guFKakGaleyWGFAxa+FxPHLR4hZXNljK/hRF5lsn9R+9LCzY0TTbcXapNA
Tmvhcw3KSaf3d+Rf11MnVWZRqpy47XgE83Na+vWJZykwK/rjrvcPswpdgD2Uj6WlYvDUX5RD5Exc
rzXOsS3fD8zOX5muTjqkmpyWMf5lSRSTohOoGSGyon8wMfriVEbB1ilMqcbRD2POhmkhZG45ercB
3RvNRRjM2omFHq4Xwrie7l4bx9ZMQzNXhwPTDxFdnrv7vZDVSZr7HWrashOCOztpvhF+OdckzZpE
QpSHUV4wUZ6EekKyJ/mwmvJWSueqryxdXb/QhcAP33uIfEL0B5Z7FqICrPQEPxtkgYBGEvIfK1wU
vbKs0Q6isJsaaAllyIJzZgfflopnmiMUh7jyT1M0iKoQI/pDheN8cIpt3YmGWlGBA5qYxSoXMsau
SO5zIWxURwkLdgrSUIgeaV6fG7F9mAk5ZCmEkamQSFLx1DD8mmkm5JOqbyDCQ1GJRyx8RTSWQOc3
tRBdDkJ+KSXjCmxk2aPLNIVAU7Ip93IsQ/vAR9wWthcmas7aMY8kA/81qYkXBJOD4ATdEuEx3VMh
Bk2ELNQRAlFVSEUhFxaLsBlOMiEjNbXgNIqKq9ZszCnRnN8802C+Y4GdokFt7ejUFaJUhCO4KqNT
dYRg1RHSVV2IWEchZ/UNM5o+HXn/uY+L++lvzn52jsdyw7nPX/089znc6SCq2svZTgn55tx3oCZi
myJ8V1Wb+8PruQ+BRRFtRnRIL2lvP899e88CaZFlmew4UVGof+fc58b08dzH0A1rYWznkZ8QufKh
xG1V2GKF5AynnFrVAtewdF6hrovwCLHdAm5F2Bu0mAxJIjQAxKsD04Z0sQ+6Bsgt4O7Al42TXkDg
ZJwjpwaQpXcqT+NBqxaqws2P+IzsoG+L/FzVqVwx0saGcPCM/Qq03RHwkAROlKLC5DIxnicBluGu
AJMkrC4nGvjSKICmVEBOXg74FGQdNBfbgymLPGWaglEB18eHbUKsQ0JqiSyALElAWhDqqkOFziQb
tIC8ArAv7lCPHVhYBiaWC3CslE3pMBSAmefEMXnkgGhyY35XVfXCEfCaC85G2dRBQ25mlYDgXLA4
UAds1QDneq89l0HrEoB5GDTHASgeeRL7oYD1grFTpylIn26IXi7Y35jbD6MAAwcBC9pqezwIoJDE
kmIqNThR+Ga/cEATIwErGuCLLjijJRVL1Ps3YcCJYAkoMhCgZGcMd2OgriDO8P9AKgx8L4YnoRX2
WaXZMGmkJh2oKXg9l3YgqAuafG7NZQ42YPULmearCvewURzM6cfH0aYla1jtcdqDk1ilZdNwY5NM
m0p0HHC9LW1cHR2P3bhT9eu8iZeNBKej0PN526vGrBoeXawwVRVYXnU9kbr8o7G4xViRkc5qfURV
J9cxclui2Erwbsss5AO071Dkx7VdVMTooSYgbzWjpNFBiCBWH7bQGsMwO2/kRIZ/QW6pHSO/LcgW
TNj2tRRk2jzvO++6TnNnUifVsVfWMUUSvEcbkiNINpIlXJlxDBhG+cCK02CeJXiaZcLjLyicP0ls
P4sSr5gWFe2SzoZnU+BJCHdnTU6sN63bbG31UF6JNQQ7kdzxwK3Bfbo6wo/W06k11UaeyMqYQzsn
eM6rvUvLtZhTiMYO1CRZ1mR2TptUHOL9KKExs+Bp6/pxLHXnpuLfphgOTdI+sedGZZ4kpnpg2jZ7
u+ec9mlVEZ+qojbwqXY9Opn4RXMD7FycbOL+NOulQ1ioJRyl6L4Jm+sw0e7ygfgBHf0CiM4jF5BV
qXqkRnf2qu0MeU4cHwE7VdqeOEN1puXaQyjIMlXuH2g0wLuQlpeaXgZpHE4TY7yNi1qeVJxgC9sI
w0UueLi1i+N+VhDT4tMfCaPHcASBGlR3f2zozJJmYhI3LSBiL7jMfA8/BC+I51IeXadddq2U/kBh
rq9LOfyemk3C1w+Mk2duLuTPyyaz/wxL6Rj79iPbSWTYV8bc9PMjNzNCiPIN+kQFA0dHuq2LASZB
dkIPJp50VoWBi2fd1COlQuRpzkGbW86sSghf7BB2TorK0U/VKLOlWQF7/OE/x+JzO5ij6tfHIvYW
aVAPn89FgZD9PBdJpuYYU+DRCF7nW5ha1fbMt+fly6GIzorgLMfCf1uFPubY4HGvl2Fnj/9O4Cin
Kepdmsx/51AEKP94KAJGwfGhquN/eCsC+Xt7GU6T3iyKKjlLFdI7lpXaQPIcmoCDb6INnepAh29h
NMZWfg/94vuYjf5+L6WXOqnvE826G1pS6vPGOyiB0oo8SOn8kv3b6NZKrhV2+bCJ8YYnpsDNuE8Z
3uAv1Nwk3yj3VpLkRtO29WuQtOy0GuoHSeQVG073oHOxm/sEATcOucSZHRz3uvCkdsKlxLW8lDNj
lvnauPJrs53VqBDRJJUPtAdpmTblXQurBv/1YV9W7TupVxZ+VysTq/cOLKtepZhvTCKc5ydG0d12
tnQV10M8DSPlUjPqGw/27r5j46ihaJp56kHPmiMy4qpkROUca9g1RLlsH8YqWy1Z3AEhiJlgVMNw
J1MCjrUP2bpX5aNENh71OtnXIGNXenCMrDMi80Ga9tC1SYzgXzsHiVzeNNC5sx5xSyoI3hC9nfBO
6zBggPsN1f6+VKvTcgyuDbjhEUHjM3ISoYsb5pnEm4WL3h0kfiAhFyL4cZQab4FrymUVaKsml1bj
ExFdDlQKeMjpRmEnhyEuyBNDUNdhfZ5JRoeOs3JJ65RQLCM8OQ59xHahIL8XXrz0i0ae2/DizQp2
VFfQBIYxb2coQWQnOc0xSEfPURCxmafqPjR+IAAo92VATkc+xPZ+ZPnlLBTUfLN1+7kh6PoYq0DN
H9SD0uv+dGH0xzD7Tbkhky7tpgSCFfslmqaeNJ+Jhx5AJcl70guJgN6N7KSoBhKJs7tUJXefwtSd
dll7LKMx8IXYoK/Lu1AqL8zWOOtQI3ghsgRTDfd1dApJrR84Cikx0Whe1WGBJsv7ExHyI20WCRIx
iI4hZA+tEEDYKCHSsECfo7IZW/k1AR6cUFV3JQn5BH9Kh0BIKjShrZCwA9dUE5sfhSZ1RcJVkOVL
fXBOI50wlnrowasRbTRgOvNe6DgsrPZZK6WN5jpQpy5yj66mLxxpZb+u3TycoZXGY0PoQ7QovG7w
co+DK4TdMTMQJQlrjTAftCV2bdX7aUUuudFBsuoV1Z1qmXw8YEBNL5tEtjDQZiOCFdTbJFikBdgD
YpYgpaSFsm1OgyelC5IXF+lL1MOcYq5d6tqRNPyIZNHxRS6TWdVcE/oZ37foXGQEoVg/ZCGyyS39
RznKtw7qG7mLV/kw4OCCLIdAMH9uDr5guRYXflOtY31MCJk9tLPxSG8cskKeZD49Dik27h+lPfxQ
q/K7JzXHXVafY3a6rNswWhCIM4OSsNQcvHIUIScit0edhIJk0AixUVnXP3IpSaCYd8LOwFoHRfmd
pGgO9AyppypkS31nm0d1I9RFhmRjA6XfsOsWoBYlVtson2rUsLTLcFZnQz6uhDzKq5pm4Y/tUS2k
UyoaKtPv16EQVeVCXlUXVUx5xM200vE2TQhR80nWqP3+sjaKRqTcz+Me0XaB6f48TY2SRZexJGxz
GZcBwrLeXWWxJsybXTzRJO/SdckOyZ1Lx9UPtH6wpybitUkzxBdujiSd2OaFV9vxTdlVAY7iRAUC
sSKZFAvbCK8tExGh2XbRgm0VDovq3/UppMBGDxZtlx6xoV8MeoZUEC+oGQfAObRMdRIYxqxFCbzv
y2iN2krTJ4YJcc5Oj3wXLkxUxCeV354HgPITlb6IS1QAruMlCJYX87dte2mYoX0wps0dDkxImPLS
nXAJ86dmWEiwdqQfjg7Hs/bLYB+i4nk6ZHemxtouYsum/ralKYl9mLa7Y7qSCwfzwKy4UexEiKrQ
TSVDD/2aDOOJT6DALGPPNvJUJnRIrhdxnd01TnBNsLw+Bd9cDLVH44qvnFKIKrrTyESoexL9oMEy
pm1gHiKipdjXMTnwcdfSMpogjd5e+UN03nEmTuvQzhgYxEIEWnjk5gxMN/pOsyYUAiJBP82lsZtF
0AAJSc642lnd1JM7xK2ReWWQ1Fymw4ORGWehlz/2eNlQLIY3SOMBbGBJYj6TntDnLVbIyKB1wHa1
rJQUCeWwjvMS9wC1mUeCDkvSXXxYjcWVprLw41S7lgb9tA7qh66IF44bXnHYy8eBiVaU8/+wCrxT
gO1vzhgdaBLFouW3vQD2GnQB3YGLaYGVDmRPCWJuR4TfTLWs+6DPpFlSElpdCEbhkNkXipsUc0PY
7KckbM3znOClNm7cQ7kc1iYOiHyfrbqIIvtbn6KLtV3pKPC8dUnohRfRXOvDfD8rMv7eys+yCHYS
rExvTuzSfU6jDAwzuNXlgFSCwjzjavpnppswS+P+YPS0H6HcWeyxSgPhn5gLuyfjwbRAqWqTm7yc
DUy/kIuCEgwYgY/KrQlbBq+0YE7Ll7uAxK5NhxvvRQuU05TCtZyqywi197QO3BCrrvw4ECxMvS73
h1Enc0UTlbccHYRejd+rTaaZLMj7hQoLKxP8TUTxD75HtkJhe+UCozJ5miVtO8vkAQMytIKDZF4n
NlxXz3ONaVJI3/yyu0Ihjr1C4ExpmqOqUHAKarj+eFwv6AP4l7VpFXNArsPGa4iRkp0rRJpnXtw5
U8ypgPpyqQHbZD1pbb3oPSme4Rh2KFE5sSBDedqp1V3uJcgQOM8ZLY4QEhtN3OSFprdD9yHl5g9T
lr5J2ETMrER4dTjRD0u4bGADc98O5bHDST4ZLOO+aq39wqbdnHrKkZtqKQZ3EKt6M7r2EghjZGep
UxuwLpSShefeybZ3QmGgT2xdyiZKEx7lBsgzUUDhSg2yQ7co+Z0d3XoSvlu0JL4pJbq4vJEurMQx
J2qSHepOd91Tc01Mf8S8JM/SeVGTGYVtFw5fUcHH0XGUsbuSVPFMP7bxt7DtAUmOVYAMdN0PU7VQ
dXZ4gSByX8htc5O3LF2/VM5jLxUYqrbUzKCep0ZYTnAzu0RLilU2iBTlZc8+XaZL2H7pojT1I8Wu
78MEww7aB9dFzxWQaK6rMQ6O+iH+hhIpmXUVW6ol3+ENzeTvUg2unNXNsrg5yatykcpY79NkAM8l
rY5ZGz461MZ+a8If7NPHMSmPRoc8L48miKpCoAix1oFgnLdogSqqPCti6/MLZqbvdBaOhgFvsrH2
5b78YfqUdFbW32oJNV8bAh3H4Q1dkUOCI2Z+lK7RLd2FdXOq68VREhBW4hE74WLJA9eRe2xhXfS+
Mu8Ngn/cIrvsK+cA1Q06TK6NcnhGlMh0CABwBw25iRvPg7I9Ifn1sAnyaQx5UD2qQmWYFp6lRudx
Opo3QxaYeH1LRst/MOq8nQ3CJsvIpecYgP9Aswa90N/cQRtsPR83XEH5q9crqGLtwd2VuUvC3SAy
mFvgKzT7xJTSZKIAoFXIT2ZTr9CsuUdBJC6bgmzxbATyegs19qBhkGkFKquTV6D/LabUZ2iWF0Z8
IvMeAJC5jX6AZmnCyUWKUcJqjLHD7IPmOzx3GBIRtHy5jWdDGQv/hGA6ZO4yAJSbGUpXTcu0PSPy
8tDCyIoaTvUmDnk3lRQco7VdDtbYQV8MLiHaPrQUiVMpazlWJFJh3U5dZiOlrCub3jSphAOWfN1B
6Vcr/cYpPJqMvqMv3FimcJHGRaxL0rzofIRmJZxYTyonQR7+adjp93zIrlqfq1VWAxu6pvlnWdSH
KRZatSNdu+lw7JsWopZg2Ub+CbK471UGDSxwrLNSM+5jx7PnCR8Ma6XA3EfHhl9zdpsMBJ/poYZf
SS0IZHF3YDvd1aCS4+HV3ULXidhVQ41okC6I0SDaD4XfGjNs3E+qOv7WccWd2p4xNyL7IgucBwCg
M3R5A1GHXEFkL6znbodCJG9vICLfA+7duoV6WmXpPXAGwbpR6c2btLMOKis5QyBzANZL6pz3PVYJ
Osxjm+gkMwJ7yrP7TnGQSQ/1LBlKkt5oT5FKlzgLWukkVirWSV2Rwqm7pLYguQnyklqiW8hlBwzt
HHiqcTGM7Y9ADx+tpPymwQ53tfEm8cZkJgsZC1+SI8PF7jqL9pTMZU2FkHZuEj7jO/0PupTZjK43
hp2uPG3KsJoksnqte8aFXg8ums3om+6pPxrVbA+HQPy5QR0PT/cmkZqDKvPB6g2T2oPYRrepw31U
b7fkeUdgFQ0mS4YMmgq2WSi1MZF1VHFjtJAtQsAQAuwXtU8mapQjj8v51nAgJAERIjYlNq5To70w
g4pE7YrSgurpSMTCzUracROjGy8scre6lN4tR9lUH11x0cXWVa57tDFjRSxRw4wzkKlM7ZFJPFR8
h4mae/OuHC8zr+RVU5sTt124cnM52tpR0GHoYqkxlgOF6828OKQ92kT3ddbf2ABaoND5naxkJUa2
7rTsgP07OSDYu8RdTfIP5FQKZ5JFYLQsZ+RPyfuKHDTTSpacA3r7w0Rr7cckLE64ubYTxPM5ZPj6
0PSGYaY2cN05VK7IDSW0GyIWszGhnVffVY3DTblUTGLrMOEEeVKP9TQi1czQHO8wVh1fm0VRd63a
BD7OS6nygz8ZBrc+VWuLXGwzMLSF6SZy+s3ifpPN9DqHx+yUsUgFsxPrDFAqMM+GIvDPtKL3bkkV
nFcxU2ii+7q7yisy9bCtndpILWVak77leJd+IXMdcYz+XI6lI/xNA23eW61Gopsdj7PeNqvisLFk
l6tD0NfBFCe9OAH71zAfjjFJNftinzaEehN1shwsIa037DOxj7ubad3LXtOE8D2GEgkqBmfOOIet
ZBRzUCPL+ybXVlzdqm7rcUJrMNI5aBPT/R4Zga8vZbVMpEns9E3+/00n8+VEFy7V85QryXDePJbD
xWPFd/ZTri5+e5Zxkf+W/bN/9MoR2vygPyAY88rfhvzxv/9r/YB54Cyo6jK4r8Wx+fS7w4f//q9n
XpT88QB+emNP7/q3z4nXvEbzwCto8JHpjOoI7Ik85wfSUZyheXv+tUQLdM8whH5TfQac34zRr0bh
9x/weTh//29+++Y/DQLQ8Lsq5J8Mgio7KhYsFBTih2F9PwhCjmpjIiY4zLzW7g2CCIPYehCAbHE5
wVzhV4NAZaXg9wAf8v9+EN6uBoMa8R98fr7lvxaCtacyz9EaO88fn+n+bg5Qj4IFwpkHT3/62YVB
+LQniFX8D0ZCTPi3QwH90MbrVXv+pHBy3w2Fqu6pcCUtwYX8v58In8ZALOKtxwAJh4OtifKrfZHp
AOXbgq/xvP3s3pagP387z4KNn4fN3zocTHp6UGew832eCJ8OB/ZFPF7Qle7ElrBpJjyfWtsMgr0n
SL58Tr7o98tAZgoImQ9UGvGzqwekCEza8myw9144zly6xY/2cSjUPcREiHfFIO3mlsBb3noQIIqp
SLReBoHp9nE+cKmijtB3djVsXyVAhwcIcTTN+uWWACneBodks9jJmSDMxreeCWjxkOkJPOj9FFDY
EnQL9fqubgZCVbDlpwd+A1oz4PM8TwEKjneDII5GG4N4+6Uo3b2jUX5eoFucCjBhLKE5U8ViED+f
aiSdwCJdo0Z6PoZ3cBC+4liwIA4Z6kudKErPdzMBxQ3bBGoWQ7Bld/eEVLa/Qpp72EFTFOtcRZ5+
PgyFuD7wO67Rz8O+g/Nh+4sDYAIUZsVRWV/vJ4K6B40L86WXlsHufXpBMNtyX2TFo+DS5F8djUwB
ikVFNl/24B0chO2LJNHQUdGw67+4Rj+J8FRFgdO3o/WBsvXlEc95GlDwKj+vA32P0oCuFiL+l11i
J2skZftrEzcC+CkGkNLT1v/pyqAYewZFhIGT/k6fDfrWa4LpAEqAjgQ/iKefTxcHInfogtLJ3NWL
g7p9zWzuIb19crDYPB8AmulkMUw7iyopz5XcFlWjRuqkrHJGcnl4Xf/vzkmcQyiqTbjYu3p70rYu
nTWL3VEQxO2XPfBT1QgvXZUxKBEK6d3cHrfeEzRjT0NERtvlefcT4NH7meA8XbQRpe1qvfjyxrZZ
DhRE8JwomV76Lgzru0FgT4BmroPB7urGKGzqtisbOR10UGaSZJ73xU8HJRUTGdbIFEV89W4uh+1v
kjoe4ypBEa/Xp49IMxsjEb8AsTSoxM+uwiuf1Kr/pBnJokcPivj06efjUIiDErYUFfbOLoqvwJiA
WrktWi87w8ftkUVBQiBws0ha3s1Fsf11mruU8Lw3cObcPBPUPShz7Auia7+Tg6Btf1BSMhlMdybD
8yB8qhZQd8uqzHVrV5eDuvWFkpKJqc5iIF3sdft7d1ACLaBht7B0g7AofnZ0PujbD4UuikMx53+N
PsNr14Tr3E4PxQufZrvySRH3COSYm2cFKk6uGiZCzV2tHF7A8W0GwdrTZEJsSf57/ro/HZfUV6ij
KBz016Wzk1ulUObyxrYYCgE7cV3gwHiZ+Xzr73YJeBuiZ8XK2NXy6QUU3GYQOA6cJ8L2yyBwKrwf
BNAYPAN1R3k+m3YPhRXhNtvNBFh9DkJtGjMvm+SnmSAzEwS1XiQr7+RyEFaPWw4CVwboOT83hk8t
OoHHw17BwHxXj8tPnu//6DbB9ZKezK+wR/idMPpsgLcdnQna9jMB1J3GDG71L9TGjzgDMhR6FsTN
7upEeAGGt9gXNVYDHoXYIP0CjxekPlAGEfW1oxNBBP5uuSVoNCVoR5NEs7lYYCLgAAmdbWcBBvV5
im43E9jzxDC8tOg+rgaBugn1FN4bzz87Oh+EWmzr+YALt4FVxnMB/RmFpbqE7kXTfld3Bm37poRN
ewqyK+ZZz1/3p2JBlFTi/8Crxc+uFo8vtcw2S+OJxmgZNC4/VI1sDAodPI6QFxhiR9fECwiyzRiI
sonNQbTqXr/u9wU0pF/M68lg31XARXu+7m4zCEBv3KN0Ycn39LNhj1Qd2D6O8wxQ7uqaeBGsbDEU
gummibSAVzUAO+HH+WDClCerbWcryO0LB4PiCC8YLk2/WBQ0aThEkEnt7EGxfeHwhEISz/S6B346
KCgh8dDkqNjV5WBsfbUGZIGxYtKt+gX+KOpo0Eckc89bx64Oxct3tMXOACotOnLoH34FvSl7T2bm
xs7K5vTtdwaL7iyu5ob5K9kc1TSu7hDmn19r9/CmT+nR/wRlgOGrwWp7rhA39bD5JbA9ZYP42dVF
8cnR4u8PBURgjRwfNFGbT4onFqhYFsbfOC7/jUnzU6A89YP44UmaHDxWmxTMv/oHr+Dz59+/ER4/
SS3f/UshVX5+8b+ky//zXrn8JJh989tXAe3TK738/ctH/Pzi717s9XO9/scDss3X5T0RZ0/S6Jc3
ulonaJv/N+Z/HtZvhaJCNi2u/q//bbPM+uel8vdPxzPy8fVBbzTZHDF/fdTPGu5/7+HJ+iErXx/0
5uEsnK0fPhGe2a/PefNsbpJbP3u6jtctX0n1+qw3z2e+b/98/IiqT18pmwog4Rc8PK3L9R/TrKo3
vQRQ+dYvMXuM/1hl5cbx5zq19fPn8R+zrGTyvD7rzfhTrm39/EX5WKWbHs7htvXD9+PHNH19zps3
/hXL9aBJ7rL4of78eMH33vqtHyb5Yxms49dH/fXuBZV6+8djMfj6mDeP/ooVe/xYbhhz0Rzb+l0f
B6m3YSMQaputn32yjjbsYUJx9gWPrqrHTWPyFQv0JKv++N/Ue4wfN43MVyzR5fqBDfh1HN7Mlq9Y
oss1ztIbnv0VS1Q8O8827e6CQbP117p8TB+y+2DT7iW4GF/w/PL+8eH1QX+Nu+A4bP/wjPf++pw3
z/6KZbrMNo7JV6xSHk08x+Ow4Z1/xUpdrfMNE100y7Ye8NVju/5cOxqyYD1v/fDTcs0W8PqgN1/n
VyzRs3h9vykSRSBTW7/zs7hJNhV3grOw9cMvAkrHKnjYMDKi17P18y/X9yVXgrTecJaKPsoXvED6
x+QRo7JNL/AVS/VyLV6gTNflw8aNTPTKv+RTzIJHb9OH+IpVKz7EghVwH1T3m17jK5aveI2jbF00
m04r0R/4klE6aYLqj9O7oMo3fY6vWMzicyzX9eOm53/Feub59fqPybq8W2+qGQRf8ytGiteY4ga6
YbMWMORXvULZjK8P+2tPFTY427+Av954JxTiwO0fDoaxcWi+ZDEHVUQKRPP6Pt8MzJes5Sxeb6oe
RG9w+4GhMEk2zZkvWb//KjX0Nz58/xaGc/m7aLJtH/7t0V9vGhrR4Nh63H+fHrP1W/+dL/D2Dwcg
SjbhcgJu3Xpkfh//vu2bv83iDfu88KvZ+o3fNncbFpLgF/6LR2+CZX8aIH4Ga1/dHTf92XssWvyL
+/hxXf7P/wMAAP//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microsoft.com/office/2014/relationships/chartEx" Target="../charts/chartEx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243663</xdr:colOff>
      <xdr:row>0</xdr:row>
      <xdr:rowOff>0</xdr:rowOff>
    </xdr:from>
    <xdr:to>
      <xdr:col>25</xdr:col>
      <xdr:colOff>580793</xdr:colOff>
      <xdr:row>33</xdr:row>
      <xdr:rowOff>10823</xdr:rowOff>
    </xdr:to>
    <xdr:sp macro="" textlink="">
      <xdr:nvSpPr>
        <xdr:cNvPr id="3" name="Rectangle 2">
          <a:extLst>
            <a:ext uri="{FF2B5EF4-FFF2-40B4-BE49-F238E27FC236}">
              <a16:creationId xmlns:a16="http://schemas.microsoft.com/office/drawing/2014/main" id="{2D741362-E427-456E-8679-23B131BC19C5}"/>
            </a:ext>
          </a:extLst>
        </xdr:cNvPr>
        <xdr:cNvSpPr/>
      </xdr:nvSpPr>
      <xdr:spPr>
        <a:xfrm>
          <a:off x="2191958" y="0"/>
          <a:ext cx="13065994" cy="6440198"/>
        </a:xfrm>
        <a:prstGeom prst="rect">
          <a:avLst/>
        </a:prstGeom>
        <a:solidFill>
          <a:schemeClr val="accent1">
            <a:lumMod val="50000"/>
          </a:schemeClr>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23234</xdr:rowOff>
    </xdr:from>
    <xdr:to>
      <xdr:col>4</xdr:col>
      <xdr:colOff>243662</xdr:colOff>
      <xdr:row>33</xdr:row>
      <xdr:rowOff>10825</xdr:rowOff>
    </xdr:to>
    <xdr:sp macro="" textlink="">
      <xdr:nvSpPr>
        <xdr:cNvPr id="2" name="Rectangle 1">
          <a:extLst>
            <a:ext uri="{FF2B5EF4-FFF2-40B4-BE49-F238E27FC236}">
              <a16:creationId xmlns:a16="http://schemas.microsoft.com/office/drawing/2014/main" id="{149C5BC3-BB48-33D4-08D3-25D9B50FA24C}"/>
            </a:ext>
          </a:extLst>
        </xdr:cNvPr>
        <xdr:cNvSpPr/>
      </xdr:nvSpPr>
      <xdr:spPr>
        <a:xfrm>
          <a:off x="0" y="23234"/>
          <a:ext cx="2191957" cy="6416966"/>
        </a:xfrm>
        <a:prstGeom prst="rect">
          <a:avLst/>
        </a:prstGeom>
        <a:solidFill>
          <a:schemeClr val="accent2">
            <a:lumMod val="75000"/>
          </a:schemeClr>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121832</xdr:colOff>
      <xdr:row>2</xdr:row>
      <xdr:rowOff>158504</xdr:rowOff>
    </xdr:from>
    <xdr:to>
      <xdr:col>1</xdr:col>
      <xdr:colOff>730990</xdr:colOff>
      <xdr:row>4</xdr:row>
      <xdr:rowOff>147427</xdr:rowOff>
    </xdr:to>
    <xdr:sp macro="" textlink="Sheet1!F9">
      <xdr:nvSpPr>
        <xdr:cNvPr id="5" name="Rectangle 4">
          <a:extLst>
            <a:ext uri="{FF2B5EF4-FFF2-40B4-BE49-F238E27FC236}">
              <a16:creationId xmlns:a16="http://schemas.microsoft.com/office/drawing/2014/main" id="{A301043C-B106-5386-2CA3-46E67A968BEC}"/>
            </a:ext>
          </a:extLst>
        </xdr:cNvPr>
        <xdr:cNvSpPr/>
      </xdr:nvSpPr>
      <xdr:spPr>
        <a:xfrm>
          <a:off x="121832" y="535074"/>
          <a:ext cx="841745" cy="365493"/>
        </a:xfrm>
        <a:prstGeom prst="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B511D7A-8ADE-4616-8282-5FC5BFD2FA4F}" type="TxLink">
            <a:rPr lang="en-US" sz="1600" b="1" i="0" u="none" strike="noStrike">
              <a:solidFill>
                <a:schemeClr val="bg1"/>
              </a:solidFill>
              <a:latin typeface="Amasis MT Pro Black" panose="02040A04050005020304" pitchFamily="18" charset="0"/>
            </a:rPr>
            <a:pPr algn="l"/>
            <a:t>2,400</a:t>
          </a:fld>
          <a:endParaRPr lang="en-IN" sz="1600" b="1">
            <a:solidFill>
              <a:schemeClr val="bg1"/>
            </a:solidFill>
            <a:latin typeface="Amasis MT Pro Black" panose="02040A04050005020304" pitchFamily="18" charset="0"/>
          </a:endParaRPr>
        </a:p>
      </xdr:txBody>
    </xdr:sp>
    <xdr:clientData/>
  </xdr:twoCellAnchor>
  <xdr:twoCellAnchor>
    <xdr:from>
      <xdr:col>0</xdr:col>
      <xdr:colOff>88604</xdr:colOff>
      <xdr:row>6</xdr:row>
      <xdr:rowOff>132168</xdr:rowOff>
    </xdr:from>
    <xdr:to>
      <xdr:col>1</xdr:col>
      <xdr:colOff>830668</xdr:colOff>
      <xdr:row>8</xdr:row>
      <xdr:rowOff>112674</xdr:rowOff>
    </xdr:to>
    <xdr:sp macro="" textlink="Sheet1!G9">
      <xdr:nvSpPr>
        <xdr:cNvPr id="6" name="Rectangle 5">
          <a:extLst>
            <a:ext uri="{FF2B5EF4-FFF2-40B4-BE49-F238E27FC236}">
              <a16:creationId xmlns:a16="http://schemas.microsoft.com/office/drawing/2014/main" id="{85776DFA-6B3A-4138-8CCC-E73EFBE46D57}"/>
            </a:ext>
          </a:extLst>
        </xdr:cNvPr>
        <xdr:cNvSpPr/>
      </xdr:nvSpPr>
      <xdr:spPr>
        <a:xfrm>
          <a:off x="88604" y="1261877"/>
          <a:ext cx="974651" cy="357076"/>
        </a:xfrm>
        <a:prstGeom prst="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3E959FD-2896-475A-95A9-793A44338C25}" type="TxLink">
            <a:rPr lang="en-US" sz="1600" b="1" i="0" u="none" strike="noStrike">
              <a:solidFill>
                <a:schemeClr val="bg1"/>
              </a:solidFill>
              <a:latin typeface="Amasis MT Pro Black" panose="02040A04050005020304" pitchFamily="18" charset="0"/>
              <a:ea typeface="+mn-ea"/>
              <a:cs typeface="+mn-cs"/>
            </a:rPr>
            <a:pPr marL="0" indent="0" algn="l"/>
            <a:t>11,997</a:t>
          </a:fld>
          <a:endParaRPr lang="en-IN" sz="1600" b="1" i="0" u="none" strike="noStrike">
            <a:solidFill>
              <a:schemeClr val="bg1"/>
            </a:solidFill>
            <a:latin typeface="Amasis MT Pro Black" panose="02040A04050005020304" pitchFamily="18" charset="0"/>
            <a:ea typeface="+mn-ea"/>
            <a:cs typeface="+mn-cs"/>
          </a:endParaRPr>
        </a:p>
      </xdr:txBody>
    </xdr:sp>
    <xdr:clientData/>
  </xdr:twoCellAnchor>
  <xdr:twoCellAnchor>
    <xdr:from>
      <xdr:col>0</xdr:col>
      <xdr:colOff>66453</xdr:colOff>
      <xdr:row>10</xdr:row>
      <xdr:rowOff>119564</xdr:rowOff>
    </xdr:from>
    <xdr:to>
      <xdr:col>1</xdr:col>
      <xdr:colOff>985726</xdr:colOff>
      <xdr:row>13</xdr:row>
      <xdr:rowOff>8809</xdr:rowOff>
    </xdr:to>
    <xdr:sp macro="" textlink="Sheet1!H9">
      <xdr:nvSpPr>
        <xdr:cNvPr id="7" name="Rectangle 6">
          <a:extLst>
            <a:ext uri="{FF2B5EF4-FFF2-40B4-BE49-F238E27FC236}">
              <a16:creationId xmlns:a16="http://schemas.microsoft.com/office/drawing/2014/main" id="{4E59B1EE-4D0E-43C8-99CC-644D95F1C99A}"/>
            </a:ext>
          </a:extLst>
        </xdr:cNvPr>
        <xdr:cNvSpPr/>
      </xdr:nvSpPr>
      <xdr:spPr>
        <a:xfrm>
          <a:off x="66453" y="2002413"/>
          <a:ext cx="1151860" cy="454099"/>
        </a:xfrm>
        <a:prstGeom prst="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46FFBF8-3741-4D8F-9892-B9A92D84B493}" type="TxLink">
            <a:rPr lang="en-US" sz="1600" b="1" i="0" u="none" strike="noStrike">
              <a:solidFill>
                <a:srgbClr val="FFC000"/>
              </a:solidFill>
              <a:latin typeface="Amasis MT Pro Black" panose="02040A04050005020304" pitchFamily="18" charset="0"/>
              <a:ea typeface="+mn-ea"/>
              <a:cs typeface="+mn-cs"/>
            </a:rPr>
            <a:pPr marL="0" indent="0" algn="l"/>
            <a:t>$649.0k</a:t>
          </a:fld>
          <a:endParaRPr lang="en-IN" sz="1600" b="1" i="0" u="none" strike="noStrike">
            <a:solidFill>
              <a:srgbClr val="FFC000"/>
            </a:solidFill>
            <a:latin typeface="Amasis MT Pro Black" panose="02040A04050005020304" pitchFamily="18" charset="0"/>
            <a:ea typeface="+mn-ea"/>
            <a:cs typeface="+mn-cs"/>
          </a:endParaRPr>
        </a:p>
      </xdr:txBody>
    </xdr:sp>
    <xdr:clientData/>
  </xdr:twoCellAnchor>
  <xdr:twoCellAnchor>
    <xdr:from>
      <xdr:col>0</xdr:col>
      <xdr:colOff>66453</xdr:colOff>
      <xdr:row>15</xdr:row>
      <xdr:rowOff>4624</xdr:rowOff>
    </xdr:from>
    <xdr:to>
      <xdr:col>1</xdr:col>
      <xdr:colOff>431947</xdr:colOff>
      <xdr:row>17</xdr:row>
      <xdr:rowOff>82153</xdr:rowOff>
    </xdr:to>
    <xdr:sp macro="" textlink="Sheet1!I9">
      <xdr:nvSpPr>
        <xdr:cNvPr id="8" name="Rectangle 7">
          <a:extLst>
            <a:ext uri="{FF2B5EF4-FFF2-40B4-BE49-F238E27FC236}">
              <a16:creationId xmlns:a16="http://schemas.microsoft.com/office/drawing/2014/main" id="{DAD57466-DDE1-4E69-812A-272689DAFEF9}"/>
            </a:ext>
          </a:extLst>
        </xdr:cNvPr>
        <xdr:cNvSpPr/>
      </xdr:nvSpPr>
      <xdr:spPr>
        <a:xfrm>
          <a:off x="66453" y="2828897"/>
          <a:ext cx="598081" cy="454099"/>
        </a:xfrm>
        <a:prstGeom prst="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B604341-CB83-48F9-B636-B1D9A4005D24}" type="TxLink">
            <a:rPr lang="en-US" sz="1600" b="1" i="0" u="none" strike="noStrike">
              <a:solidFill>
                <a:schemeClr val="bg1"/>
              </a:solidFill>
              <a:latin typeface="Amasis MT Pro Black" panose="02040A04050005020304" pitchFamily="18" charset="0"/>
              <a:ea typeface="+mn-ea"/>
              <a:cs typeface="+mn-cs"/>
            </a:rPr>
            <a:pPr marL="0" indent="0" algn="l"/>
            <a:t>4.0</a:t>
          </a:fld>
          <a:endParaRPr lang="en-IN" sz="1600" b="1" i="0" u="none" strike="noStrike">
            <a:solidFill>
              <a:schemeClr val="bg1"/>
            </a:solidFill>
            <a:latin typeface="Amasis MT Pro Black" panose="02040A04050005020304" pitchFamily="18" charset="0"/>
            <a:ea typeface="+mn-ea"/>
            <a:cs typeface="+mn-cs"/>
          </a:endParaRPr>
        </a:p>
      </xdr:txBody>
    </xdr:sp>
    <xdr:clientData/>
  </xdr:twoCellAnchor>
  <xdr:twoCellAnchor>
    <xdr:from>
      <xdr:col>0</xdr:col>
      <xdr:colOff>99680</xdr:colOff>
      <xdr:row>19</xdr:row>
      <xdr:rowOff>77972</xdr:rowOff>
    </xdr:from>
    <xdr:to>
      <xdr:col>1</xdr:col>
      <xdr:colOff>420872</xdr:colOff>
      <xdr:row>21</xdr:row>
      <xdr:rowOff>155501</xdr:rowOff>
    </xdr:to>
    <xdr:sp macro="" textlink="Sheet1!J9">
      <xdr:nvSpPr>
        <xdr:cNvPr id="9" name="Rectangle 8">
          <a:extLst>
            <a:ext uri="{FF2B5EF4-FFF2-40B4-BE49-F238E27FC236}">
              <a16:creationId xmlns:a16="http://schemas.microsoft.com/office/drawing/2014/main" id="{C34805F3-2FCF-4BE6-B85D-A0C6DCE111A5}"/>
            </a:ext>
          </a:extLst>
        </xdr:cNvPr>
        <xdr:cNvSpPr/>
      </xdr:nvSpPr>
      <xdr:spPr>
        <a:xfrm>
          <a:off x="99680" y="3655385"/>
          <a:ext cx="553779" cy="454099"/>
        </a:xfrm>
        <a:prstGeom prst="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0103376-6BF1-4EB9-8749-62CA28990619}" type="TxLink">
            <a:rPr lang="en-US" sz="1600" b="1" i="0" u="none" strike="noStrike">
              <a:solidFill>
                <a:schemeClr val="bg1"/>
              </a:solidFill>
              <a:latin typeface="Amasis MT Pro Black" panose="02040A04050005020304" pitchFamily="18" charset="0"/>
              <a:ea typeface="+mn-ea"/>
              <a:cs typeface="+mn-cs"/>
            </a:rPr>
            <a:pPr marL="0" indent="0" algn="l"/>
            <a:t>2.3</a:t>
          </a:fld>
          <a:endParaRPr lang="en-IN" sz="1600" b="1" i="0" u="none" strike="noStrike">
            <a:solidFill>
              <a:schemeClr val="bg1"/>
            </a:solidFill>
            <a:latin typeface="Amasis MT Pro Black" panose="02040A04050005020304" pitchFamily="18" charset="0"/>
            <a:ea typeface="+mn-ea"/>
            <a:cs typeface="+mn-cs"/>
          </a:endParaRPr>
        </a:p>
      </xdr:txBody>
    </xdr:sp>
    <xdr:clientData/>
  </xdr:twoCellAnchor>
  <xdr:twoCellAnchor>
    <xdr:from>
      <xdr:col>0</xdr:col>
      <xdr:colOff>88605</xdr:colOff>
      <xdr:row>0</xdr:row>
      <xdr:rowOff>155059</xdr:rowOff>
    </xdr:from>
    <xdr:to>
      <xdr:col>3</xdr:col>
      <xdr:colOff>22152</xdr:colOff>
      <xdr:row>2</xdr:row>
      <xdr:rowOff>166134</xdr:rowOff>
    </xdr:to>
    <xdr:sp macro="" textlink="">
      <xdr:nvSpPr>
        <xdr:cNvPr id="10" name="TextBox 9">
          <a:extLst>
            <a:ext uri="{FF2B5EF4-FFF2-40B4-BE49-F238E27FC236}">
              <a16:creationId xmlns:a16="http://schemas.microsoft.com/office/drawing/2014/main" id="{246ABF0B-C393-F4F6-2893-DEB388A85097}"/>
            </a:ext>
          </a:extLst>
        </xdr:cNvPr>
        <xdr:cNvSpPr txBox="1"/>
      </xdr:nvSpPr>
      <xdr:spPr>
        <a:xfrm>
          <a:off x="88605" y="155059"/>
          <a:ext cx="1273692"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t>🛒</a:t>
          </a:r>
          <a:r>
            <a:rPr lang="en-IN" sz="1050"/>
            <a:t> </a:t>
          </a:r>
          <a:r>
            <a:rPr lang="en-IN" sz="1600" b="1"/>
            <a:t>Orders</a:t>
          </a:r>
          <a:endParaRPr lang="en-IN" sz="1050" b="1"/>
        </a:p>
      </xdr:txBody>
    </xdr:sp>
    <xdr:clientData/>
  </xdr:twoCellAnchor>
  <xdr:twoCellAnchor>
    <xdr:from>
      <xdr:col>0</xdr:col>
      <xdr:colOff>33227</xdr:colOff>
      <xdr:row>4</xdr:row>
      <xdr:rowOff>139797</xdr:rowOff>
    </xdr:from>
    <xdr:to>
      <xdr:col>1</xdr:col>
      <xdr:colOff>730989</xdr:colOff>
      <xdr:row>6</xdr:row>
      <xdr:rowOff>150873</xdr:rowOff>
    </xdr:to>
    <xdr:sp macro="" textlink="">
      <xdr:nvSpPr>
        <xdr:cNvPr id="11" name="TextBox 10">
          <a:extLst>
            <a:ext uri="{FF2B5EF4-FFF2-40B4-BE49-F238E27FC236}">
              <a16:creationId xmlns:a16="http://schemas.microsoft.com/office/drawing/2014/main" id="{42D0568A-0E6A-40A8-9D97-85156722BA69}"/>
            </a:ext>
          </a:extLst>
        </xdr:cNvPr>
        <xdr:cNvSpPr txBox="1"/>
      </xdr:nvSpPr>
      <xdr:spPr>
        <a:xfrm>
          <a:off x="33227" y="892937"/>
          <a:ext cx="930349"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a:solidFill>
                <a:schemeClr val="dk1"/>
              </a:solidFill>
              <a:latin typeface="+mn-lt"/>
              <a:ea typeface="+mn-ea"/>
              <a:cs typeface="+mn-cs"/>
            </a:rPr>
            <a:t> 👕</a:t>
          </a:r>
          <a:r>
            <a:rPr lang="en-IN" sz="1600" b="1">
              <a:solidFill>
                <a:schemeClr val="dk1"/>
              </a:solidFill>
              <a:latin typeface="+mn-lt"/>
              <a:ea typeface="+mn-ea"/>
              <a:cs typeface="+mn-cs"/>
            </a:rPr>
            <a:t>QTY</a:t>
          </a:r>
        </a:p>
      </xdr:txBody>
    </xdr:sp>
    <xdr:clientData/>
  </xdr:twoCellAnchor>
  <xdr:twoCellAnchor>
    <xdr:from>
      <xdr:col>0</xdr:col>
      <xdr:colOff>0</xdr:colOff>
      <xdr:row>8</xdr:row>
      <xdr:rowOff>116119</xdr:rowOff>
    </xdr:from>
    <xdr:to>
      <xdr:col>3</xdr:col>
      <xdr:colOff>55378</xdr:colOff>
      <xdr:row>10</xdr:row>
      <xdr:rowOff>127194</xdr:rowOff>
    </xdr:to>
    <xdr:sp macro="" textlink="">
      <xdr:nvSpPr>
        <xdr:cNvPr id="12" name="TextBox 11">
          <a:extLst>
            <a:ext uri="{FF2B5EF4-FFF2-40B4-BE49-F238E27FC236}">
              <a16:creationId xmlns:a16="http://schemas.microsoft.com/office/drawing/2014/main" id="{EBB0CB57-D15F-4A76-B438-14B1A279CB58}"/>
            </a:ext>
          </a:extLst>
        </xdr:cNvPr>
        <xdr:cNvSpPr txBox="1"/>
      </xdr:nvSpPr>
      <xdr:spPr>
        <a:xfrm>
          <a:off x="0" y="1622398"/>
          <a:ext cx="1395523"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a:solidFill>
                <a:schemeClr val="dk1"/>
              </a:solidFill>
              <a:latin typeface="+mn-lt"/>
              <a:ea typeface="+mn-ea"/>
              <a:cs typeface="+mn-cs"/>
            </a:rPr>
            <a:t>💲</a:t>
          </a:r>
          <a:r>
            <a:rPr lang="en-IN" sz="1600" b="1">
              <a:solidFill>
                <a:schemeClr val="dk1"/>
              </a:solidFill>
              <a:latin typeface="+mn-lt"/>
              <a:ea typeface="+mn-ea"/>
              <a:cs typeface="+mn-cs"/>
            </a:rPr>
            <a:t>AMOUNT</a:t>
          </a:r>
        </a:p>
      </xdr:txBody>
    </xdr:sp>
    <xdr:clientData/>
  </xdr:twoCellAnchor>
  <xdr:twoCellAnchor>
    <xdr:from>
      <xdr:col>0</xdr:col>
      <xdr:colOff>0</xdr:colOff>
      <xdr:row>13</xdr:row>
      <xdr:rowOff>1179</xdr:rowOff>
    </xdr:from>
    <xdr:to>
      <xdr:col>3</xdr:col>
      <xdr:colOff>210436</xdr:colOff>
      <xdr:row>15</xdr:row>
      <xdr:rowOff>12254</xdr:rowOff>
    </xdr:to>
    <xdr:sp macro="" textlink="">
      <xdr:nvSpPr>
        <xdr:cNvPr id="13" name="TextBox 12">
          <a:extLst>
            <a:ext uri="{FF2B5EF4-FFF2-40B4-BE49-F238E27FC236}">
              <a16:creationId xmlns:a16="http://schemas.microsoft.com/office/drawing/2014/main" id="{22D2914E-11F8-404E-A31B-BFC00DAFED1E}"/>
            </a:ext>
          </a:extLst>
        </xdr:cNvPr>
        <xdr:cNvSpPr txBox="1"/>
      </xdr:nvSpPr>
      <xdr:spPr>
        <a:xfrm>
          <a:off x="0" y="2448882"/>
          <a:ext cx="1550581"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400" b="1">
              <a:solidFill>
                <a:schemeClr val="dk1"/>
              </a:solidFill>
              <a:latin typeface="+mn-lt"/>
              <a:ea typeface="+mn-ea"/>
              <a:cs typeface="+mn-cs"/>
            </a:rPr>
            <a:t>⭐AVG.RATING</a:t>
          </a:r>
          <a:endParaRPr lang="en-IN" sz="1600" b="1">
            <a:solidFill>
              <a:schemeClr val="dk1"/>
            </a:solidFill>
            <a:latin typeface="+mn-lt"/>
            <a:ea typeface="+mn-ea"/>
            <a:cs typeface="+mn-cs"/>
          </a:endParaRPr>
        </a:p>
      </xdr:txBody>
    </xdr:sp>
    <xdr:clientData/>
  </xdr:twoCellAnchor>
  <xdr:twoCellAnchor>
    <xdr:from>
      <xdr:col>0</xdr:col>
      <xdr:colOff>0</xdr:colOff>
      <xdr:row>17</xdr:row>
      <xdr:rowOff>74523</xdr:rowOff>
    </xdr:from>
    <xdr:to>
      <xdr:col>3</xdr:col>
      <xdr:colOff>376570</xdr:colOff>
      <xdr:row>19</xdr:row>
      <xdr:rowOff>85598</xdr:rowOff>
    </xdr:to>
    <xdr:sp macro="" textlink="">
      <xdr:nvSpPr>
        <xdr:cNvPr id="14" name="TextBox 13">
          <a:extLst>
            <a:ext uri="{FF2B5EF4-FFF2-40B4-BE49-F238E27FC236}">
              <a16:creationId xmlns:a16="http://schemas.microsoft.com/office/drawing/2014/main" id="{B3384868-671A-433A-904E-141E79E8D40B}"/>
            </a:ext>
          </a:extLst>
        </xdr:cNvPr>
        <xdr:cNvSpPr txBox="1"/>
      </xdr:nvSpPr>
      <xdr:spPr>
        <a:xfrm>
          <a:off x="0" y="3275366"/>
          <a:ext cx="1716715"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400" b="1">
              <a:solidFill>
                <a:schemeClr val="dk1"/>
              </a:solidFill>
              <a:latin typeface="+mn-lt"/>
              <a:ea typeface="+mn-ea"/>
              <a:cs typeface="+mn-cs"/>
            </a:rPr>
            <a:t>📅Day.To.Deliver</a:t>
          </a:r>
          <a:endParaRPr lang="en-IN" sz="1600" b="1">
            <a:solidFill>
              <a:schemeClr val="dk1"/>
            </a:solidFill>
            <a:latin typeface="+mn-lt"/>
            <a:ea typeface="+mn-ea"/>
            <a:cs typeface="+mn-cs"/>
          </a:endParaRPr>
        </a:p>
      </xdr:txBody>
    </xdr:sp>
    <xdr:clientData/>
  </xdr:twoCellAnchor>
  <xdr:twoCellAnchor>
    <xdr:from>
      <xdr:col>4</xdr:col>
      <xdr:colOff>337595</xdr:colOff>
      <xdr:row>0</xdr:row>
      <xdr:rowOff>88605</xdr:rowOff>
    </xdr:from>
    <xdr:to>
      <xdr:col>10</xdr:col>
      <xdr:colOff>519546</xdr:colOff>
      <xdr:row>13</xdr:row>
      <xdr:rowOff>0</xdr:rowOff>
    </xdr:to>
    <xdr:graphicFrame macro="">
      <xdr:nvGraphicFramePr>
        <xdr:cNvPr id="15" name="Chart 14">
          <a:extLst>
            <a:ext uri="{FF2B5EF4-FFF2-40B4-BE49-F238E27FC236}">
              <a16:creationId xmlns:a16="http://schemas.microsoft.com/office/drawing/2014/main" id="{1D57677D-1F30-4A06-A45D-F07314700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86590</xdr:colOff>
      <xdr:row>0</xdr:row>
      <xdr:rowOff>75766</xdr:rowOff>
    </xdr:from>
    <xdr:to>
      <xdr:col>17</xdr:col>
      <xdr:colOff>346363</xdr:colOff>
      <xdr:row>12</xdr:row>
      <xdr:rowOff>194828</xdr:rowOff>
    </xdr:to>
    <xdr:sp macro="" textlink="">
      <xdr:nvSpPr>
        <xdr:cNvPr id="20" name="Rectangle 19">
          <a:extLst>
            <a:ext uri="{FF2B5EF4-FFF2-40B4-BE49-F238E27FC236}">
              <a16:creationId xmlns:a16="http://schemas.microsoft.com/office/drawing/2014/main" id="{2B15CEC7-32A8-AEBB-5FB8-E510958068C4}"/>
            </a:ext>
          </a:extLst>
        </xdr:cNvPr>
        <xdr:cNvSpPr/>
      </xdr:nvSpPr>
      <xdr:spPr>
        <a:xfrm>
          <a:off x="6277840" y="75766"/>
          <a:ext cx="3896591" cy="245701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259076</xdr:colOff>
          <xdr:row>1</xdr:row>
          <xdr:rowOff>117543</xdr:rowOff>
        </xdr:from>
        <xdr:to>
          <xdr:col>17</xdr:col>
          <xdr:colOff>122904</xdr:colOff>
          <xdr:row>12</xdr:row>
          <xdr:rowOff>181024</xdr:rowOff>
        </xdr:to>
        <xdr:pic>
          <xdr:nvPicPr>
            <xdr:cNvPr id="19" name="Picture 18">
              <a:extLst>
                <a:ext uri="{FF2B5EF4-FFF2-40B4-BE49-F238E27FC236}">
                  <a16:creationId xmlns:a16="http://schemas.microsoft.com/office/drawing/2014/main" id="{34AB0637-4FA3-D5C0-C244-BCDBD2BCEFF0}"/>
                </a:ext>
              </a:extLst>
            </xdr:cNvPr>
            <xdr:cNvPicPr>
              <a:picLocks noChangeAspect="1" noChangeArrowheads="1"/>
              <a:extLst>
                <a:ext uri="{84589F7E-364E-4C9E-8A38-B11213B215E9}">
                  <a14:cameraTool cellRange="Sheet4!$I$4:$M$9" spid="_x0000_s5137"/>
                </a:ext>
              </a:extLst>
            </xdr:cNvPicPr>
          </xdr:nvPicPr>
          <xdr:blipFill>
            <a:blip xmlns:r="http://schemas.openxmlformats.org/officeDocument/2006/relationships" r:embed="rId2"/>
            <a:srcRect/>
            <a:stretch>
              <a:fillRect/>
            </a:stretch>
          </xdr:blipFill>
          <xdr:spPr bwMode="auto">
            <a:xfrm>
              <a:off x="6511778" y="301898"/>
              <a:ext cx="3550924" cy="209138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333426</xdr:colOff>
      <xdr:row>13</xdr:row>
      <xdr:rowOff>193386</xdr:rowOff>
    </xdr:from>
    <xdr:to>
      <xdr:col>10</xdr:col>
      <xdr:colOff>530369</xdr:colOff>
      <xdr:row>32</xdr:row>
      <xdr:rowOff>93807</xdr:rowOff>
    </xdr:to>
    <xdr:graphicFrame macro="">
      <xdr:nvGraphicFramePr>
        <xdr:cNvPr id="23" name="Chart 22">
          <a:extLst>
            <a:ext uri="{FF2B5EF4-FFF2-40B4-BE49-F238E27FC236}">
              <a16:creationId xmlns:a16="http://schemas.microsoft.com/office/drawing/2014/main" id="{7A6E0AC3-5753-4150-B1A8-F71FB1F4D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263672</xdr:colOff>
      <xdr:row>23</xdr:row>
      <xdr:rowOff>95309</xdr:rowOff>
    </xdr:from>
    <xdr:to>
      <xdr:col>8</xdr:col>
      <xdr:colOff>528024</xdr:colOff>
      <xdr:row>30</xdr:row>
      <xdr:rowOff>179977</xdr:rowOff>
    </xdr:to>
    <xdr:graphicFrame macro="">
      <xdr:nvGraphicFramePr>
        <xdr:cNvPr id="25" name="Chart 24">
          <a:extLst>
            <a:ext uri="{FF2B5EF4-FFF2-40B4-BE49-F238E27FC236}">
              <a16:creationId xmlns:a16="http://schemas.microsoft.com/office/drawing/2014/main" id="{E8314650-78D1-49FB-999D-2356C725C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527457</xdr:colOff>
      <xdr:row>0</xdr:row>
      <xdr:rowOff>88156</xdr:rowOff>
    </xdr:from>
    <xdr:to>
      <xdr:col>25</xdr:col>
      <xdr:colOff>346363</xdr:colOff>
      <xdr:row>11</xdr:row>
      <xdr:rowOff>129886</xdr:rowOff>
    </xdr:to>
    <xdr:graphicFrame macro="">
      <xdr:nvGraphicFramePr>
        <xdr:cNvPr id="21" name="Chart 20">
          <a:extLst>
            <a:ext uri="{FF2B5EF4-FFF2-40B4-BE49-F238E27FC236}">
              <a16:creationId xmlns:a16="http://schemas.microsoft.com/office/drawing/2014/main" id="{2CA2C3B6-542B-4E78-93F3-932E13FF4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96212</xdr:colOff>
      <xdr:row>14</xdr:row>
      <xdr:rowOff>0</xdr:rowOff>
    </xdr:from>
    <xdr:to>
      <xdr:col>17</xdr:col>
      <xdr:colOff>357187</xdr:colOff>
      <xdr:row>32</xdr:row>
      <xdr:rowOff>86591</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1B47C812-75EE-45E7-8DC9-DA3A3131E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87462" y="2727614"/>
              <a:ext cx="3897793" cy="35935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547740</xdr:colOff>
      <xdr:row>12</xdr:row>
      <xdr:rowOff>140710</xdr:rowOff>
    </xdr:from>
    <xdr:to>
      <xdr:col>25</xdr:col>
      <xdr:colOff>378835</xdr:colOff>
      <xdr:row>22</xdr:row>
      <xdr:rowOff>129887</xdr:rowOff>
    </xdr:to>
    <xdr:graphicFrame macro="">
      <xdr:nvGraphicFramePr>
        <xdr:cNvPr id="31" name="Chart 30">
          <a:extLst>
            <a:ext uri="{FF2B5EF4-FFF2-40B4-BE49-F238E27FC236}">
              <a16:creationId xmlns:a16="http://schemas.microsoft.com/office/drawing/2014/main" id="{99955DA9-9014-4C6F-BCBC-C148C99EA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552014</xdr:colOff>
      <xdr:row>23</xdr:row>
      <xdr:rowOff>64944</xdr:rowOff>
    </xdr:from>
    <xdr:to>
      <xdr:col>25</xdr:col>
      <xdr:colOff>389658</xdr:colOff>
      <xdr:row>32</xdr:row>
      <xdr:rowOff>86593</xdr:rowOff>
    </xdr:to>
    <xdr:graphicFrame macro="">
      <xdr:nvGraphicFramePr>
        <xdr:cNvPr id="4" name="Chart 3">
          <a:extLst>
            <a:ext uri="{FF2B5EF4-FFF2-40B4-BE49-F238E27FC236}">
              <a16:creationId xmlns:a16="http://schemas.microsoft.com/office/drawing/2014/main" id="{D7A7C1FE-18B5-435E-AA56-2BF801D9E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32472</xdr:colOff>
      <xdr:row>26</xdr:row>
      <xdr:rowOff>76634</xdr:rowOff>
    </xdr:from>
    <xdr:to>
      <xdr:col>4</xdr:col>
      <xdr:colOff>140711</xdr:colOff>
      <xdr:row>32</xdr:row>
      <xdr:rowOff>151535</xdr:rowOff>
    </xdr:to>
    <mc:AlternateContent xmlns:mc="http://schemas.openxmlformats.org/markup-compatibility/2006">
      <mc:Choice xmlns:a14="http://schemas.microsoft.com/office/drawing/2010/main" Requires="a14">
        <xdr:graphicFrame macro="">
          <xdr:nvGraphicFramePr>
            <xdr:cNvPr id="16" name="Order Mode">
              <a:extLst>
                <a:ext uri="{FF2B5EF4-FFF2-40B4-BE49-F238E27FC236}">
                  <a16:creationId xmlns:a16="http://schemas.microsoft.com/office/drawing/2014/main" id="{B8ABCDF4-618A-DFCD-6D0C-E05F652C2D9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32472" y="4908829"/>
              <a:ext cx="2059702" cy="1190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21648</xdr:colOff>
      <xdr:row>21</xdr:row>
      <xdr:rowOff>87457</xdr:rowOff>
    </xdr:from>
    <xdr:to>
      <xdr:col>4</xdr:col>
      <xdr:colOff>129887</xdr:colOff>
      <xdr:row>26</xdr:row>
      <xdr:rowOff>32472</xdr:rowOff>
    </xdr:to>
    <mc:AlternateContent xmlns:mc="http://schemas.openxmlformats.org/markup-compatibility/2006">
      <mc:Choice xmlns:a14="http://schemas.microsoft.com/office/drawing/2010/main" Requires="a14">
        <xdr:graphicFrame macro="">
          <xdr:nvGraphicFramePr>
            <xdr:cNvPr id="17" name="Gender Value">
              <a:extLst>
                <a:ext uri="{FF2B5EF4-FFF2-40B4-BE49-F238E27FC236}">
                  <a16:creationId xmlns:a16="http://schemas.microsoft.com/office/drawing/2014/main" id="{D7E1364B-8CE7-078D-390C-B55D0C5D609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1648" y="3990384"/>
              <a:ext cx="2059702" cy="874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218890</xdr:colOff>
      <xdr:row>18</xdr:row>
      <xdr:rowOff>63166</xdr:rowOff>
    </xdr:from>
    <xdr:to>
      <xdr:col>17</xdr:col>
      <xdr:colOff>236922</xdr:colOff>
      <xdr:row>26</xdr:row>
      <xdr:rowOff>90199</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1B46DB31-1114-4824-989E-EEA0C9D480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834685" y="3570098"/>
              <a:ext cx="1230305" cy="15856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esh patel" refreshedDate="46319.4148712963" createdVersion="8" refreshedVersion="8" minRefreshableVersion="3" recordCount="2400" xr:uid="{B393FEDC-4CCE-43C1-AF02-75CFA582700E}">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5">
        <s v="Unknown"/>
        <s v="Male"/>
        <s v="Female"/>
        <s v="Other"/>
        <s v="Dont" u="1"/>
      </sharedItems>
    </cacheField>
    <cacheField name="Quantity2" numFmtId="0" databaseField="0">
      <fieldGroup base="2">
        <discretePr count="48">
          <x v="0"/>
          <x v="1"/>
          <x v="2"/>
          <x v="4"/>
          <x v="5"/>
          <x v="5"/>
          <x v="5"/>
          <x v="5"/>
          <x v="4"/>
          <x v="4"/>
          <x v="5"/>
          <x v="4"/>
          <x v="3"/>
          <x v="4"/>
          <x v="5"/>
          <x v="5"/>
          <x v="5"/>
          <x v="5"/>
          <x v="5"/>
          <x v="5"/>
          <x v="5"/>
          <x v="5"/>
          <x v="5"/>
          <x v="5"/>
          <x v="5"/>
          <x v="5"/>
          <x v="5"/>
          <x v="5"/>
          <x v="5"/>
          <x v="5"/>
          <x v="5"/>
          <x v="5"/>
          <x v="5"/>
          <x v="5"/>
          <x v="5"/>
          <x v="5"/>
          <x v="5"/>
          <x v="5"/>
          <x v="5"/>
          <x v="5"/>
          <x v="5"/>
          <x v="5"/>
          <x v="5"/>
          <x v="5"/>
          <x v="5"/>
          <x v="5"/>
          <x v="5"/>
          <x v="5"/>
        </discretePr>
        <groupItems count="6">
          <n v="1"/>
          <n v="2"/>
          <n v="3"/>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26898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E1212C-02CE-47DF-B105-5883EC255ED4}" name="Report summa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6">
        <item m="1" x="4"/>
        <item x="2"/>
        <item x="1"/>
        <item x="3"/>
        <item x="0"/>
        <item t="default"/>
      </items>
    </pivotField>
    <pivotField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F13D96-F0E2-44AE-ADEC-627D3BD66F8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C30" firstHeaderRow="0" firstDataRow="1" firstDataCol="1"/>
  <pivotFields count="18">
    <pivotField showAll="0" sumSubtotal="1"/>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sumSubtotal="1">
      <items count="14">
        <item x="0"/>
        <item x="1"/>
        <item x="2"/>
        <item x="3"/>
        <item x="4"/>
        <item x="5"/>
        <item x="6"/>
        <item x="7"/>
        <item x="8"/>
        <item x="9"/>
        <item x="10"/>
        <item x="11"/>
        <item x="12"/>
        <item t="sum"/>
      </items>
    </pivotField>
    <pivotField showAll="0">
      <items count="6">
        <item m="1" x="4"/>
        <item x="2"/>
        <item x="1"/>
        <item x="3"/>
        <item x="0"/>
        <item t="default"/>
      </items>
    </pivotField>
    <pivotField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2">
    <format dxfId="0">
      <pivotArea dataOnly="0" labelOnly="1" outline="0" fieldPosition="0">
        <references count="1">
          <reference field="4294967294" count="1">
            <x v="1"/>
          </reference>
        </references>
      </pivotArea>
    </format>
    <format dxfId="1">
      <pivotArea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5"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2CA49D-CBD6-4FC1-BE70-2D093C8118E9}" name="Mapchart"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m="1" x="4"/>
        <item x="2"/>
        <item x="1"/>
        <item x="3"/>
        <item x="0"/>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6CD90B-6C93-40CE-8CC1-0FC6B3B31701}"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6">
        <item x="0"/>
        <item x="1"/>
        <item x="2"/>
        <item x="3"/>
        <item x="4"/>
        <item x="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7E56C1-ED51-455E-939E-FB58687DA811}"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G27"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axis="axisCol" showAll="0">
      <items count="6">
        <item x="3"/>
        <item x="4"/>
        <item x="1"/>
        <item x="0"/>
        <item x="2"/>
        <item t="default"/>
      </items>
    </pivotField>
    <pivotField showAll="0"/>
    <pivotField showAll="0"/>
    <pivotField showAll="0"/>
    <pivotField showAll="0"/>
    <pivotField showAll="0"/>
    <pivotField showAll="0" defaultSubtotal="0">
      <items count="6">
        <item x="0"/>
        <item x="1"/>
        <item x="2"/>
        <item x="3"/>
        <item x="4"/>
        <item x="5"/>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2" format="10" series="1">
      <pivotArea type="data" outline="0" fieldPosition="0">
        <references count="2">
          <reference field="4294967294" count="1" selected="0">
            <x v="0"/>
          </reference>
          <reference field="9" count="1" selected="0">
            <x v="0"/>
          </reference>
        </references>
      </pivotArea>
    </chartFormat>
    <chartFormat chart="12" format="11" series="1">
      <pivotArea type="data" outline="0" fieldPosition="0">
        <references count="2">
          <reference field="4294967294" count="1" selected="0">
            <x v="0"/>
          </reference>
          <reference field="9" count="1" selected="0">
            <x v="1"/>
          </reference>
        </references>
      </pivotArea>
    </chartFormat>
    <chartFormat chart="12" format="12"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337651-BFA5-417A-A4A2-E584C40A9C4F}"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6">
        <item m="1" x="4"/>
        <item x="2"/>
        <item x="1"/>
        <item x="3"/>
        <item x="0"/>
        <item t="default"/>
      </items>
    </pivotField>
    <pivotField axis="axisRow" showAll="0">
      <items count="7">
        <item x="0"/>
        <item x="1"/>
        <item x="2"/>
        <item x="3"/>
        <item n="5 to 9" x="4"/>
        <item n="More than"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7">
    <i>
      <x/>
    </i>
    <i>
      <x v="1"/>
    </i>
    <i>
      <x v="2"/>
    </i>
    <i>
      <x v="3"/>
    </i>
    <i>
      <x v="4"/>
    </i>
    <i>
      <x v="5"/>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882153-9E1A-43DB-86E4-E730D7B7A57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7"/>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08EF9-50D5-4738-B7C8-C622BAB2C9F3}"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I34:J39"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dataField="1"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6">
        <item m="1" x="4"/>
        <item x="2"/>
        <item x="1"/>
        <item x="3"/>
        <item x="0"/>
        <item t="default"/>
      </items>
    </pivotField>
    <pivotField showAll="0">
      <items count="7">
        <item x="0"/>
        <item x="1"/>
        <item x="2"/>
        <item x="3"/>
        <item n="5 to 9" x="4"/>
        <item n="More than"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v="1"/>
    </i>
    <i>
      <x v="2"/>
    </i>
    <i>
      <x v="3"/>
    </i>
    <i>
      <x v="4"/>
    </i>
    <i t="grand">
      <x/>
    </i>
  </rowItems>
  <colItems count="1">
    <i/>
  </colItems>
  <dataFields count="1">
    <dataField name="Sum of Unit Price" fld="3" showDataAs="percentOfTotal" baseField="0" baseItem="0" numFmtId="10"/>
  </dataFields>
  <chartFormats count="6">
    <chartFormat chart="43" format="8" series="1">
      <pivotArea type="data" outline="0" fieldPosition="0">
        <references count="1">
          <reference field="4294967294" count="1" selected="0">
            <x v="0"/>
          </reference>
        </references>
      </pivotArea>
    </chartFormat>
    <chartFormat chart="43" format="9">
      <pivotArea type="data" outline="0" fieldPosition="0">
        <references count="2">
          <reference field="4294967294" count="1" selected="0">
            <x v="0"/>
          </reference>
          <reference field="14" count="1" selected="0">
            <x v="0"/>
          </reference>
        </references>
      </pivotArea>
    </chartFormat>
    <chartFormat chart="43" format="10">
      <pivotArea type="data" outline="0" fieldPosition="0">
        <references count="2">
          <reference field="4294967294" count="1" selected="0">
            <x v="0"/>
          </reference>
          <reference field="14" count="1" selected="0">
            <x v="1"/>
          </reference>
        </references>
      </pivotArea>
    </chartFormat>
    <chartFormat chart="43" format="11">
      <pivotArea type="data" outline="0" fieldPosition="0">
        <references count="2">
          <reference field="4294967294" count="1" selected="0">
            <x v="0"/>
          </reference>
          <reference field="14" count="1" selected="0">
            <x v="2"/>
          </reference>
        </references>
      </pivotArea>
    </chartFormat>
    <chartFormat chart="43" format="12">
      <pivotArea type="data" outline="0" fieldPosition="0">
        <references count="2">
          <reference field="4294967294" count="1" selected="0">
            <x v="0"/>
          </reference>
          <reference field="14" count="1" selected="0">
            <x v="3"/>
          </reference>
        </references>
      </pivotArea>
    </chartFormat>
    <chartFormat chart="43" format="13">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1F1ADF-A40C-4F84-B499-E41DEBF5312C}"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3:F5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6">
        <item m="1" x="4"/>
        <item x="2"/>
        <item x="1"/>
        <item x="3"/>
        <item x="0"/>
        <item t="default"/>
      </items>
    </pivotField>
    <pivotField showAll="0">
      <items count="7">
        <item x="0"/>
        <item x="1"/>
        <item x="2"/>
        <item x="3"/>
        <item n="5 to 9" x="4"/>
        <item n="More than"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28" format="8" series="1">
      <pivotArea type="data" outline="0" fieldPosition="0">
        <references count="2">
          <reference field="4294967294" count="1" selected="0">
            <x v="0"/>
          </reference>
          <reference field="7" count="1" selected="0">
            <x v="0"/>
          </reference>
        </references>
      </pivotArea>
    </chartFormat>
    <chartFormat chart="28" format="9" series="1">
      <pivotArea type="data" outline="0" fieldPosition="0">
        <references count="2">
          <reference field="4294967294" count="1" selected="0">
            <x v="0"/>
          </reference>
          <reference field="7" count="1" selected="0">
            <x v="1"/>
          </reference>
        </references>
      </pivotArea>
    </chartFormat>
    <chartFormat chart="28" format="10" series="1">
      <pivotArea type="data" outline="0" fieldPosition="0">
        <references count="2">
          <reference field="4294967294" count="1" selected="0">
            <x v="0"/>
          </reference>
          <reference field="7" count="1" selected="0">
            <x v="2"/>
          </reference>
        </references>
      </pivotArea>
    </chartFormat>
    <chartFormat chart="28"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7A3D8CC-9142-49D5-A623-508023712705}" sourceName="Order Mode">
  <pivotTables>
    <pivotTable tabId="8" name="PivotTable4"/>
    <pivotTable tabId="5" name="PivotTable2"/>
    <pivotTable tabId="5" name="Report summary"/>
    <pivotTable tabId="9" name="Mapchart"/>
    <pivotTable tabId="8" name="PivotTable5"/>
  </pivotTables>
  <data>
    <tabular pivotCacheId="82689807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AB4D1B6-6E37-4DD2-8C27-C42A720F94D8}" sourceName="Gender Value">
  <pivotTables>
    <pivotTable tabId="8" name="PivotTable4"/>
    <pivotTable tabId="5" name="PivotTable2"/>
    <pivotTable tabId="9" name="Mapchart"/>
    <pivotTable tabId="5" name="Report summary"/>
    <pivotTable tabId="8" name="PivotTable5"/>
  </pivotTables>
  <data>
    <tabular pivotCacheId="826898078">
      <items count="5">
        <i x="2" s="1"/>
        <i x="1" s="1"/>
        <i x="3"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12DC85D-1516-407C-9778-8ACFDA68A11A}" cache="Slicer_Order_Mode" caption="Order Mode" columnCount="2" style="SlicerStyleDark1" rowHeight="257175"/>
  <slicer name="Gender Value" xr10:uid="{87A8E1EF-2DCF-44C8-8238-B929009C8261}" cache="Slicer_Gender_Value" caption="Gender Value" columnCount="2"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6"/>
    <tableColumn id="7" xr3:uid="{43BB5DBF-46E1-4185-80C0-4361F55A385C}" name="Ship Date" dataDxfId="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4">
      <calculatedColumnFormula>orders[[#This Row],[Ship Date]]-orders[[#This Row],[Order Date]]</calculatedColumnFormula>
    </tableColumn>
    <tableColumn id="12" xr3:uid="{B071C0DA-87A9-4516-B4D9-4F5B7D3FF44A}" name="Weeknum" dataDxfId="3">
      <calculatedColumnFormula>WEEKNUM(orders[[#This Row],[Order Date]])</calculatedColumnFormula>
    </tableColumn>
    <tableColumn id="13" xr3:uid="{B8EA9E28-7541-4E76-9935-C26438661A18}" name="Gender Value" dataDxfId="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S2401"/>
  <sheetViews>
    <sheetView tabSelected="1" workbookViewId="0">
      <selection activeCell="P5" sqref="P5"/>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9" x14ac:dyDescent="0.25">
      <c r="A1" t="s">
        <v>0</v>
      </c>
      <c r="B1" t="s">
        <v>1</v>
      </c>
      <c r="C1" t="s">
        <v>2</v>
      </c>
      <c r="D1" t="s">
        <v>3</v>
      </c>
      <c r="E1" t="s">
        <v>4</v>
      </c>
      <c r="F1" t="s">
        <v>5</v>
      </c>
      <c r="G1" t="s">
        <v>6</v>
      </c>
      <c r="H1" t="s">
        <v>7</v>
      </c>
      <c r="I1" t="s">
        <v>8</v>
      </c>
      <c r="J1" t="s">
        <v>9</v>
      </c>
      <c r="K1" t="s">
        <v>10</v>
      </c>
      <c r="L1" t="s">
        <v>11</v>
      </c>
      <c r="M1" s="1" t="s">
        <v>12</v>
      </c>
      <c r="N1" s="1" t="s">
        <v>13</v>
      </c>
      <c r="O1" s="1" t="s">
        <v>14</v>
      </c>
    </row>
    <row r="2" spans="1:19" x14ac:dyDescent="0.25">
      <c r="A2" t="s">
        <v>15</v>
      </c>
      <c r="B2" t="s">
        <v>16</v>
      </c>
      <c r="C2">
        <v>1</v>
      </c>
      <c r="D2">
        <v>10.9</v>
      </c>
      <c r="E2">
        <v>10.9</v>
      </c>
      <c r="F2" s="4">
        <v>45658</v>
      </c>
      <c r="G2" s="4">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c r="S2" s="5"/>
    </row>
    <row r="3" spans="1:19" x14ac:dyDescent="0.25">
      <c r="A3" t="s">
        <v>21</v>
      </c>
      <c r="B3" t="s">
        <v>22</v>
      </c>
      <c r="C3">
        <v>2</v>
      </c>
      <c r="D3">
        <v>30.6</v>
      </c>
      <c r="E3">
        <v>61.2</v>
      </c>
      <c r="F3" s="4">
        <v>45658</v>
      </c>
      <c r="G3" s="4">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9" x14ac:dyDescent="0.25">
      <c r="A4" t="s">
        <v>25</v>
      </c>
      <c r="B4" t="s">
        <v>26</v>
      </c>
      <c r="C4">
        <v>3</v>
      </c>
      <c r="D4">
        <v>109.4</v>
      </c>
      <c r="E4">
        <v>328.20000000000005</v>
      </c>
      <c r="F4" s="4">
        <v>45658</v>
      </c>
      <c r="G4" s="4">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9" x14ac:dyDescent="0.25">
      <c r="A5" t="s">
        <v>29</v>
      </c>
      <c r="B5" t="s">
        <v>30</v>
      </c>
      <c r="C5">
        <v>7</v>
      </c>
      <c r="D5">
        <v>37.700000000000003</v>
      </c>
      <c r="E5">
        <v>263.90000000000003</v>
      </c>
      <c r="F5" s="4">
        <v>45658</v>
      </c>
      <c r="G5" s="4">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9" x14ac:dyDescent="0.25">
      <c r="A6" t="s">
        <v>31</v>
      </c>
      <c r="B6" t="s">
        <v>32</v>
      </c>
      <c r="C6">
        <v>3</v>
      </c>
      <c r="D6">
        <v>56.7</v>
      </c>
      <c r="E6">
        <v>170.10000000000002</v>
      </c>
      <c r="F6" s="4">
        <v>45658</v>
      </c>
      <c r="G6" s="4">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9" x14ac:dyDescent="0.25">
      <c r="A7" t="s">
        <v>34</v>
      </c>
      <c r="B7" t="s">
        <v>22</v>
      </c>
      <c r="C7">
        <v>12</v>
      </c>
      <c r="D7">
        <v>83.5</v>
      </c>
      <c r="E7">
        <v>1002</v>
      </c>
      <c r="F7" s="4">
        <v>45658</v>
      </c>
      <c r="G7" s="4">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9" x14ac:dyDescent="0.25">
      <c r="A8" t="s">
        <v>36</v>
      </c>
      <c r="B8" t="s">
        <v>37</v>
      </c>
      <c r="C8">
        <v>1</v>
      </c>
      <c r="D8">
        <v>55.3</v>
      </c>
      <c r="E8">
        <v>55.3</v>
      </c>
      <c r="F8" s="4">
        <v>45658</v>
      </c>
      <c r="G8" s="4">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9" x14ac:dyDescent="0.25">
      <c r="A9" t="s">
        <v>38</v>
      </c>
      <c r="B9" t="s">
        <v>39</v>
      </c>
      <c r="C9">
        <v>2</v>
      </c>
      <c r="D9">
        <v>40.299999999999997</v>
      </c>
      <c r="E9">
        <v>80.599999999999994</v>
      </c>
      <c r="F9" s="4">
        <v>45658</v>
      </c>
      <c r="G9" s="4">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9" x14ac:dyDescent="0.25">
      <c r="A10" t="s">
        <v>41</v>
      </c>
      <c r="B10" t="s">
        <v>42</v>
      </c>
      <c r="C10">
        <v>11</v>
      </c>
      <c r="D10">
        <v>35.700000000000003</v>
      </c>
      <c r="E10">
        <v>392.70000000000005</v>
      </c>
      <c r="F10" s="4">
        <v>45658</v>
      </c>
      <c r="G10" s="4">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9" x14ac:dyDescent="0.25">
      <c r="A11" t="s">
        <v>43</v>
      </c>
      <c r="B11" t="s">
        <v>44</v>
      </c>
      <c r="C11">
        <v>7</v>
      </c>
      <c r="D11">
        <v>22.4</v>
      </c>
      <c r="E11">
        <v>156.79999999999998</v>
      </c>
      <c r="F11" s="4">
        <v>45658</v>
      </c>
      <c r="G11" s="4">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9" x14ac:dyDescent="0.25">
      <c r="A12" t="s">
        <v>45</v>
      </c>
      <c r="B12" t="s">
        <v>46</v>
      </c>
      <c r="C12">
        <v>2</v>
      </c>
      <c r="D12">
        <v>54.4</v>
      </c>
      <c r="E12">
        <v>108.8</v>
      </c>
      <c r="F12" s="4">
        <v>45658</v>
      </c>
      <c r="G12" s="4">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9" x14ac:dyDescent="0.25">
      <c r="A13" t="s">
        <v>47</v>
      </c>
      <c r="B13" t="s">
        <v>46</v>
      </c>
      <c r="C13">
        <v>2</v>
      </c>
      <c r="D13">
        <v>49</v>
      </c>
      <c r="E13">
        <v>98</v>
      </c>
      <c r="F13" s="4">
        <v>45658</v>
      </c>
      <c r="G13" s="4">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9" x14ac:dyDescent="0.25">
      <c r="A14" t="s">
        <v>48</v>
      </c>
      <c r="B14" t="s">
        <v>37</v>
      </c>
      <c r="C14">
        <v>7</v>
      </c>
      <c r="D14">
        <v>118.6</v>
      </c>
      <c r="E14">
        <v>830.19999999999993</v>
      </c>
      <c r="F14" s="4">
        <v>45658</v>
      </c>
      <c r="G14" s="4">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9" x14ac:dyDescent="0.25">
      <c r="A15" t="s">
        <v>50</v>
      </c>
      <c r="B15" t="s">
        <v>39</v>
      </c>
      <c r="C15">
        <v>27</v>
      </c>
      <c r="D15">
        <v>88.4</v>
      </c>
      <c r="E15">
        <v>2386.8000000000002</v>
      </c>
      <c r="F15" s="4">
        <v>45658</v>
      </c>
      <c r="G15" s="4">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9" x14ac:dyDescent="0.25">
      <c r="A16" t="s">
        <v>53</v>
      </c>
      <c r="B16" t="s">
        <v>54</v>
      </c>
      <c r="C16">
        <v>1</v>
      </c>
      <c r="D16">
        <v>66.7</v>
      </c>
      <c r="E16">
        <v>66.7</v>
      </c>
      <c r="F16" s="4">
        <v>45658</v>
      </c>
      <c r="G16" s="4">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4">
        <v>45658</v>
      </c>
      <c r="G17" s="4">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4">
        <v>45658</v>
      </c>
      <c r="G18" s="4">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4">
        <v>45658</v>
      </c>
      <c r="G19" s="4">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4">
        <v>45658</v>
      </c>
      <c r="G20" s="4">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4">
        <v>45658</v>
      </c>
      <c r="G21" s="4">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4">
        <v>45658</v>
      </c>
      <c r="G22" s="4">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4">
        <v>45658</v>
      </c>
      <c r="G23" s="4">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4">
        <v>45658</v>
      </c>
      <c r="G24" s="4">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4">
        <v>45658</v>
      </c>
      <c r="G25" s="4">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4">
        <v>45658</v>
      </c>
      <c r="G26" s="4">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4">
        <v>45658</v>
      </c>
      <c r="G27" s="4">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4">
        <v>45658</v>
      </c>
      <c r="G28" s="4">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4">
        <v>45658</v>
      </c>
      <c r="G29" s="4">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4">
        <v>45658</v>
      </c>
      <c r="G30" s="4">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4">
        <v>45658</v>
      </c>
      <c r="G31" s="4">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4">
        <v>45658</v>
      </c>
      <c r="G32" s="4">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4">
        <v>45658</v>
      </c>
      <c r="G33" s="4">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4">
        <v>45658</v>
      </c>
      <c r="G34" s="4">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4">
        <v>45658</v>
      </c>
      <c r="G35" s="4">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4">
        <v>45658</v>
      </c>
      <c r="G36" s="4">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4">
        <v>45658</v>
      </c>
      <c r="G37" s="4">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4">
        <v>45658</v>
      </c>
      <c r="G38" s="4">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4">
        <v>45658</v>
      </c>
      <c r="G39" s="4">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4">
        <v>45659</v>
      </c>
      <c r="G40" s="4">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4">
        <v>45659</v>
      </c>
      <c r="G41" s="4">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4">
        <v>45659</v>
      </c>
      <c r="G42" s="4">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4">
        <v>45659</v>
      </c>
      <c r="G43" s="4">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4">
        <v>45659</v>
      </c>
      <c r="G44" s="4">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4">
        <v>45659</v>
      </c>
      <c r="G45" s="4">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4">
        <v>45659</v>
      </c>
      <c r="G46" s="4">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4">
        <v>45659</v>
      </c>
      <c r="G47" s="4">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4">
        <v>45659</v>
      </c>
      <c r="G48" s="4">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4">
        <v>45659</v>
      </c>
      <c r="G49" s="4">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4">
        <v>45659</v>
      </c>
      <c r="G50" s="4">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4">
        <v>45659</v>
      </c>
      <c r="G51" s="4">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4">
        <v>45659</v>
      </c>
      <c r="G52" s="4">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4">
        <v>45659</v>
      </c>
      <c r="G53" s="4">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4">
        <v>45659</v>
      </c>
      <c r="G54" s="4">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4">
        <v>45659</v>
      </c>
      <c r="G55" s="4">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4">
        <v>45659</v>
      </c>
      <c r="G56" s="4">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4">
        <v>45659</v>
      </c>
      <c r="G57" s="4">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4">
        <v>45659</v>
      </c>
      <c r="G58" s="4">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4">
        <v>45660</v>
      </c>
      <c r="G59" s="4">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4">
        <v>45660</v>
      </c>
      <c r="G60" s="4">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4">
        <v>45660</v>
      </c>
      <c r="G61" s="4">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4">
        <v>45660</v>
      </c>
      <c r="G62" s="4">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4">
        <v>45660</v>
      </c>
      <c r="G63" s="4">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4">
        <v>45660</v>
      </c>
      <c r="G64" s="4">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4">
        <v>45660</v>
      </c>
      <c r="G65" s="4">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4">
        <v>45660</v>
      </c>
      <c r="G66" s="4">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4">
        <v>45660</v>
      </c>
      <c r="G67" s="4">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4">
        <v>45660</v>
      </c>
      <c r="G68" s="4">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4">
        <v>45660</v>
      </c>
      <c r="G69" s="4">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4">
        <v>45660</v>
      </c>
      <c r="G70" s="4">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4">
        <v>45660</v>
      </c>
      <c r="G71" s="4">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4">
        <v>45660</v>
      </c>
      <c r="G72" s="4">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4">
        <v>45660</v>
      </c>
      <c r="G73" s="4">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4">
        <v>45660</v>
      </c>
      <c r="G74" s="4">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4">
        <v>45660</v>
      </c>
      <c r="G75" s="4">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4">
        <v>45660</v>
      </c>
      <c r="G76" s="4">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4">
        <v>45660</v>
      </c>
      <c r="G77" s="4">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4">
        <v>45660</v>
      </c>
      <c r="G78" s="4">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4">
        <v>45660</v>
      </c>
      <c r="G79" s="4">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4">
        <v>45660</v>
      </c>
      <c r="G80" s="4">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4">
        <v>45660</v>
      </c>
      <c r="G81" s="4">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4">
        <v>45660</v>
      </c>
      <c r="G82" s="4">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4">
        <v>45660</v>
      </c>
      <c r="G83" s="4">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4">
        <v>45660</v>
      </c>
      <c r="G84" s="4">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4">
        <v>45661</v>
      </c>
      <c r="G85" s="4">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4">
        <v>45661</v>
      </c>
      <c r="G86" s="4">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4">
        <v>45661</v>
      </c>
      <c r="G87" s="4">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4">
        <v>45661</v>
      </c>
      <c r="G88" s="4">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4">
        <v>45661</v>
      </c>
      <c r="G89" s="4">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4">
        <v>45661</v>
      </c>
      <c r="G90" s="4">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4">
        <v>45661</v>
      </c>
      <c r="G91" s="4">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4">
        <v>45661</v>
      </c>
      <c r="G92" s="4">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4">
        <v>45661</v>
      </c>
      <c r="G93" s="4">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4">
        <v>45661</v>
      </c>
      <c r="G94" s="4">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4">
        <v>45661</v>
      </c>
      <c r="G95" s="4">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4">
        <v>45661</v>
      </c>
      <c r="G96" s="4">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4">
        <v>45661</v>
      </c>
      <c r="G97" s="4">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4">
        <v>45661</v>
      </c>
      <c r="G98" s="4">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4">
        <v>45661</v>
      </c>
      <c r="G99" s="4">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4">
        <v>45661</v>
      </c>
      <c r="G100" s="4">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4">
        <v>45661</v>
      </c>
      <c r="G101" s="4">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4">
        <v>45661</v>
      </c>
      <c r="G102" s="4">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4">
        <v>45662</v>
      </c>
      <c r="G103" s="4">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4">
        <v>45662</v>
      </c>
      <c r="G104" s="4">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4">
        <v>45662</v>
      </c>
      <c r="G105" s="4">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4">
        <v>45662</v>
      </c>
      <c r="G106" s="4">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4">
        <v>45662</v>
      </c>
      <c r="G107" s="4">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4">
        <v>45662</v>
      </c>
      <c r="G108" s="4">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4">
        <v>45662</v>
      </c>
      <c r="G109" s="4">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4">
        <v>45662</v>
      </c>
      <c r="G110" s="4">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4">
        <v>45662</v>
      </c>
      <c r="G111" s="4">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4">
        <v>45662</v>
      </c>
      <c r="G112" s="4">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4">
        <v>45662</v>
      </c>
      <c r="G113" s="4">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4">
        <v>45662</v>
      </c>
      <c r="G114" s="4">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4">
        <v>45662</v>
      </c>
      <c r="G115" s="4">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4">
        <v>45662</v>
      </c>
      <c r="G116" s="4">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4">
        <v>45662</v>
      </c>
      <c r="G117" s="4">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4">
        <v>45662</v>
      </c>
      <c r="G118" s="4">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4">
        <v>45662</v>
      </c>
      <c r="G119" s="4">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4">
        <v>45662</v>
      </c>
      <c r="G120" s="4">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4">
        <v>45662</v>
      </c>
      <c r="G121" s="4">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4">
        <v>45662</v>
      </c>
      <c r="G122" s="4">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4">
        <v>45662</v>
      </c>
      <c r="G123" s="4">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4">
        <v>45662</v>
      </c>
      <c r="G124" s="4">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4">
        <v>45662</v>
      </c>
      <c r="G125" s="4">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4">
        <v>45662</v>
      </c>
      <c r="G126" s="4">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4">
        <v>45662</v>
      </c>
      <c r="G127" s="4">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4">
        <v>45662</v>
      </c>
      <c r="G128" s="4">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4">
        <v>45663</v>
      </c>
      <c r="G129" s="4">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4">
        <v>45663</v>
      </c>
      <c r="G130" s="4">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4">
        <v>45663</v>
      </c>
      <c r="G131" s="4">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4">
        <v>45663</v>
      </c>
      <c r="G132" s="4">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4">
        <v>45663</v>
      </c>
      <c r="G133" s="4">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4">
        <v>45663</v>
      </c>
      <c r="G134" s="4">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4">
        <v>45663</v>
      </c>
      <c r="G135" s="4">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4">
        <v>45663</v>
      </c>
      <c r="G136" s="4">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4">
        <v>45663</v>
      </c>
      <c r="G137" s="4">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4">
        <v>45663</v>
      </c>
      <c r="G138" s="4">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4">
        <v>45663</v>
      </c>
      <c r="G139" s="4">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4">
        <v>45663</v>
      </c>
      <c r="G140" s="4">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4">
        <v>45663</v>
      </c>
      <c r="G141" s="4">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4">
        <v>45663</v>
      </c>
      <c r="G142" s="4">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4">
        <v>45663</v>
      </c>
      <c r="G143" s="4">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4">
        <v>45663</v>
      </c>
      <c r="G144" s="4">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4">
        <v>45663</v>
      </c>
      <c r="G145" s="4">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4">
        <v>45663</v>
      </c>
      <c r="G146" s="4">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4">
        <v>45663</v>
      </c>
      <c r="G147" s="4">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4">
        <v>45663</v>
      </c>
      <c r="G148" s="4">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4">
        <v>45663</v>
      </c>
      <c r="G149" s="4">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4">
        <v>45663</v>
      </c>
      <c r="G150" s="4">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4">
        <v>45663</v>
      </c>
      <c r="G151" s="4">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4">
        <v>45663</v>
      </c>
      <c r="G152" s="4">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4">
        <v>45664</v>
      </c>
      <c r="G153" s="4">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4">
        <v>45664</v>
      </c>
      <c r="G154" s="4">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4">
        <v>45664</v>
      </c>
      <c r="G155" s="4">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4">
        <v>45664</v>
      </c>
      <c r="G156" s="4">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4">
        <v>45664</v>
      </c>
      <c r="G157" s="4">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4">
        <v>45664</v>
      </c>
      <c r="G158" s="4">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4">
        <v>45664</v>
      </c>
      <c r="G159" s="4">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4">
        <v>45664</v>
      </c>
      <c r="G160" s="4">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4">
        <v>45664</v>
      </c>
      <c r="G161" s="4">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4">
        <v>45664</v>
      </c>
      <c r="G162" s="4">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4">
        <v>45664</v>
      </c>
      <c r="G163" s="4">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4">
        <v>45664</v>
      </c>
      <c r="G164" s="4">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4">
        <v>45664</v>
      </c>
      <c r="G165" s="4">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4">
        <v>45664</v>
      </c>
      <c r="G166" s="4">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4">
        <v>45664</v>
      </c>
      <c r="G167" s="4">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4">
        <v>45664</v>
      </c>
      <c r="G168" s="4">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4">
        <v>45664</v>
      </c>
      <c r="G169" s="4">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4">
        <v>45664</v>
      </c>
      <c r="G170" s="4">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4">
        <v>45664</v>
      </c>
      <c r="G171" s="4">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4">
        <v>45664</v>
      </c>
      <c r="G172" s="4">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4">
        <v>45664</v>
      </c>
      <c r="G173" s="4">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4">
        <v>45664</v>
      </c>
      <c r="G174" s="4">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4">
        <v>45664</v>
      </c>
      <c r="G175" s="4">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4">
        <v>45664</v>
      </c>
      <c r="G176" s="4">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4">
        <v>45664</v>
      </c>
      <c r="G177" s="4">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4">
        <v>45664</v>
      </c>
      <c r="G178" s="4">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4">
        <v>45664</v>
      </c>
      <c r="G179" s="4">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4">
        <v>45664</v>
      </c>
      <c r="G180" s="4">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4">
        <v>45664</v>
      </c>
      <c r="G181" s="4">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4">
        <v>45664</v>
      </c>
      <c r="G182" s="4">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4">
        <v>45664</v>
      </c>
      <c r="G183" s="4">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4">
        <v>45665</v>
      </c>
      <c r="G184" s="4">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4">
        <v>45665</v>
      </c>
      <c r="G185" s="4">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4">
        <v>45665</v>
      </c>
      <c r="G186" s="4">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4">
        <v>45665</v>
      </c>
      <c r="G187" s="4">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4">
        <v>45665</v>
      </c>
      <c r="G188" s="4">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4">
        <v>45665</v>
      </c>
      <c r="G189" s="4">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4">
        <v>45665</v>
      </c>
      <c r="G190" s="4">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4">
        <v>45665</v>
      </c>
      <c r="G191" s="4">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4">
        <v>45665</v>
      </c>
      <c r="G192" s="4">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4">
        <v>45665</v>
      </c>
      <c r="G193" s="4">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4">
        <v>45665</v>
      </c>
      <c r="G194" s="4">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4">
        <v>45665</v>
      </c>
      <c r="G195" s="4">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4">
        <v>45665</v>
      </c>
      <c r="G196" s="4">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4">
        <v>45665</v>
      </c>
      <c r="G197" s="4">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4">
        <v>45665</v>
      </c>
      <c r="G198" s="4">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4">
        <v>45665</v>
      </c>
      <c r="G199" s="4">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4">
        <v>45665</v>
      </c>
      <c r="G200" s="4">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4">
        <v>45665</v>
      </c>
      <c r="G201" s="4">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4">
        <v>45665</v>
      </c>
      <c r="G202" s="4">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4">
        <v>45665</v>
      </c>
      <c r="G203" s="4">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4">
        <v>45666</v>
      </c>
      <c r="G204" s="4">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4">
        <v>45666</v>
      </c>
      <c r="G205" s="4">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4">
        <v>45666</v>
      </c>
      <c r="G206" s="4">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4">
        <v>45666</v>
      </c>
      <c r="G207" s="4">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4">
        <v>45666</v>
      </c>
      <c r="G208" s="4">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4">
        <v>45666</v>
      </c>
      <c r="G209" s="4">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4">
        <v>45666</v>
      </c>
      <c r="G210" s="4">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4">
        <v>45666</v>
      </c>
      <c r="G211" s="4">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4">
        <v>45666</v>
      </c>
      <c r="G212" s="4">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4">
        <v>45666</v>
      </c>
      <c r="G213" s="4">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4">
        <v>45666</v>
      </c>
      <c r="G214" s="4">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4">
        <v>45666</v>
      </c>
      <c r="G215" s="4">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4">
        <v>45666</v>
      </c>
      <c r="G216" s="4">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4">
        <v>45666</v>
      </c>
      <c r="G217" s="4">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4">
        <v>45666</v>
      </c>
      <c r="G218" s="4">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4">
        <v>45666</v>
      </c>
      <c r="G219" s="4">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4">
        <v>45667</v>
      </c>
      <c r="G220" s="4">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4">
        <v>45667</v>
      </c>
      <c r="G221" s="4">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4">
        <v>45667</v>
      </c>
      <c r="G222" s="4">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4">
        <v>45667</v>
      </c>
      <c r="G223" s="4">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4">
        <v>45667</v>
      </c>
      <c r="G224" s="4">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4">
        <v>45667</v>
      </c>
      <c r="G225" s="4">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4">
        <v>45667</v>
      </c>
      <c r="G226" s="4">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4">
        <v>45667</v>
      </c>
      <c r="G227" s="4">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4">
        <v>45667</v>
      </c>
      <c r="G228" s="4">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4">
        <v>45667</v>
      </c>
      <c r="G229" s="4">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4">
        <v>45667</v>
      </c>
      <c r="G230" s="4">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4">
        <v>45667</v>
      </c>
      <c r="G231" s="4">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4">
        <v>45667</v>
      </c>
      <c r="G232" s="4">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4">
        <v>45667</v>
      </c>
      <c r="G233" s="4">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4">
        <v>45667</v>
      </c>
      <c r="G234" s="4">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4">
        <v>45667</v>
      </c>
      <c r="G235" s="4">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4">
        <v>45667</v>
      </c>
      <c r="G236" s="4">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4">
        <v>45667</v>
      </c>
      <c r="G237" s="4">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4">
        <v>45667</v>
      </c>
      <c r="G238" s="4">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4">
        <v>45667</v>
      </c>
      <c r="G239" s="4">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4">
        <v>45667</v>
      </c>
      <c r="G240" s="4">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4">
        <v>45667</v>
      </c>
      <c r="G241" s="4">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4">
        <v>45667</v>
      </c>
      <c r="G242" s="4">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4">
        <v>45667</v>
      </c>
      <c r="G243" s="4">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4">
        <v>45668</v>
      </c>
      <c r="G244" s="4">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4">
        <v>45668</v>
      </c>
      <c r="G245" s="4">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4">
        <v>45668</v>
      </c>
      <c r="G246" s="4">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4">
        <v>45668</v>
      </c>
      <c r="G247" s="4">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4">
        <v>45668</v>
      </c>
      <c r="G248" s="4">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4">
        <v>45668</v>
      </c>
      <c r="G249" s="4">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4">
        <v>45668</v>
      </c>
      <c r="G250" s="4">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4">
        <v>45668</v>
      </c>
      <c r="G251" s="4">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4">
        <v>45668</v>
      </c>
      <c r="G252" s="4">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4">
        <v>45668</v>
      </c>
      <c r="G253" s="4">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4">
        <v>45668</v>
      </c>
      <c r="G254" s="4">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4">
        <v>45668</v>
      </c>
      <c r="G255" s="4">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4">
        <v>45668</v>
      </c>
      <c r="G256" s="4">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4">
        <v>45668</v>
      </c>
      <c r="G257" s="4">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4">
        <v>45669</v>
      </c>
      <c r="G258" s="4">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4">
        <v>45669</v>
      </c>
      <c r="G259" s="4">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4">
        <v>45669</v>
      </c>
      <c r="G260" s="4">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4">
        <v>45669</v>
      </c>
      <c r="G261" s="4">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4">
        <v>45669</v>
      </c>
      <c r="G262" s="4">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4">
        <v>45669</v>
      </c>
      <c r="G263" s="4">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4">
        <v>45669</v>
      </c>
      <c r="G264" s="4">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4">
        <v>45669</v>
      </c>
      <c r="G265" s="4">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4">
        <v>45669</v>
      </c>
      <c r="G266" s="4">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4">
        <v>45669</v>
      </c>
      <c r="G267" s="4">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4">
        <v>45669</v>
      </c>
      <c r="G268" s="4">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4">
        <v>45669</v>
      </c>
      <c r="G269" s="4">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4">
        <v>45669</v>
      </c>
      <c r="G270" s="4">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4">
        <v>45669</v>
      </c>
      <c r="G271" s="4">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4">
        <v>45669</v>
      </c>
      <c r="G272" s="4">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4">
        <v>45669</v>
      </c>
      <c r="G273" s="4">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4">
        <v>45669</v>
      </c>
      <c r="G274" s="4">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4">
        <v>45669</v>
      </c>
      <c r="G275" s="4">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4">
        <v>45669</v>
      </c>
      <c r="G276" s="4">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4">
        <v>45669</v>
      </c>
      <c r="G277" s="4">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4">
        <v>45669</v>
      </c>
      <c r="G278" s="4">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4">
        <v>45669</v>
      </c>
      <c r="G279" s="4">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4">
        <v>45670</v>
      </c>
      <c r="G280" s="4">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4">
        <v>45670</v>
      </c>
      <c r="G281" s="4">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4">
        <v>45670</v>
      </c>
      <c r="G282" s="4">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4">
        <v>45670</v>
      </c>
      <c r="G283" s="4">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4">
        <v>45670</v>
      </c>
      <c r="G284" s="4">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4">
        <v>45670</v>
      </c>
      <c r="G285" s="4">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4">
        <v>45670</v>
      </c>
      <c r="G286" s="4">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4">
        <v>45670</v>
      </c>
      <c r="G287" s="4">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4">
        <v>45670</v>
      </c>
      <c r="G288" s="4">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4">
        <v>45670</v>
      </c>
      <c r="G289" s="4">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4">
        <v>45670</v>
      </c>
      <c r="G290" s="4">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4">
        <v>45670</v>
      </c>
      <c r="G291" s="4">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4">
        <v>45670</v>
      </c>
      <c r="G292" s="4">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4">
        <v>45670</v>
      </c>
      <c r="G293" s="4">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4">
        <v>45670</v>
      </c>
      <c r="G294" s="4">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4">
        <v>45670</v>
      </c>
      <c r="G295" s="4">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4">
        <v>45670</v>
      </c>
      <c r="G296" s="4">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4">
        <v>45670</v>
      </c>
      <c r="G297" s="4">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4">
        <v>45670</v>
      </c>
      <c r="G298" s="4">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4">
        <v>45670</v>
      </c>
      <c r="G299" s="4">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4">
        <v>45670</v>
      </c>
      <c r="G300" s="4">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4">
        <v>45670</v>
      </c>
      <c r="G301" s="4">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4">
        <v>45670</v>
      </c>
      <c r="G302" s="4">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4">
        <v>45670</v>
      </c>
      <c r="G303" s="4">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4">
        <v>45670</v>
      </c>
      <c r="G304" s="4">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4">
        <v>45670</v>
      </c>
      <c r="G305" s="4">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4">
        <v>45670</v>
      </c>
      <c r="G306" s="4">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4">
        <v>45670</v>
      </c>
      <c r="G307" s="4">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4">
        <v>45670</v>
      </c>
      <c r="G308" s="4">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4">
        <v>45670</v>
      </c>
      <c r="G309" s="4">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4">
        <v>45671</v>
      </c>
      <c r="G310" s="4">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4">
        <v>45671</v>
      </c>
      <c r="G311" s="4">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4">
        <v>45671</v>
      </c>
      <c r="G312" s="4">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4">
        <v>45671</v>
      </c>
      <c r="G313" s="4">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4">
        <v>45671</v>
      </c>
      <c r="G314" s="4">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4">
        <v>45671</v>
      </c>
      <c r="G315" s="4">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4">
        <v>45671</v>
      </c>
      <c r="G316" s="4">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4">
        <v>45671</v>
      </c>
      <c r="G317" s="4">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4">
        <v>45671</v>
      </c>
      <c r="G318" s="4">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4">
        <v>45671</v>
      </c>
      <c r="G319" s="4">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4">
        <v>45671</v>
      </c>
      <c r="G320" s="4">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4">
        <v>45671</v>
      </c>
      <c r="G321" s="4">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4">
        <v>45671</v>
      </c>
      <c r="G322" s="4">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4">
        <v>45671</v>
      </c>
      <c r="G323" s="4">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4">
        <v>45671</v>
      </c>
      <c r="G324" s="4">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4">
        <v>45671</v>
      </c>
      <c r="G325" s="4">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4">
        <v>45671</v>
      </c>
      <c r="G326" s="4">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4">
        <v>45672</v>
      </c>
      <c r="G327" s="4">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4">
        <v>45672</v>
      </c>
      <c r="G328" s="4">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4">
        <v>45672</v>
      </c>
      <c r="G329" s="4">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4">
        <v>45672</v>
      </c>
      <c r="G330" s="4">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4">
        <v>45672</v>
      </c>
      <c r="G331" s="4">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4">
        <v>45672</v>
      </c>
      <c r="G332" s="4">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4">
        <v>45672</v>
      </c>
      <c r="G333" s="4">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4">
        <v>45672</v>
      </c>
      <c r="G334" s="4">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4">
        <v>45672</v>
      </c>
      <c r="G335" s="4">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4">
        <v>45672</v>
      </c>
      <c r="G336" s="4">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4">
        <v>45672</v>
      </c>
      <c r="G337" s="4">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4">
        <v>45672</v>
      </c>
      <c r="G338" s="4">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4">
        <v>45672</v>
      </c>
      <c r="G339" s="4">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4">
        <v>45672</v>
      </c>
      <c r="G340" s="4">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4">
        <v>45672</v>
      </c>
      <c r="G341" s="4">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4">
        <v>45672</v>
      </c>
      <c r="G342" s="4">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4">
        <v>45672</v>
      </c>
      <c r="G343" s="4">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4">
        <v>45672</v>
      </c>
      <c r="G344" s="4">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4">
        <v>45672</v>
      </c>
      <c r="G345" s="4">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4">
        <v>45672</v>
      </c>
      <c r="G346" s="4">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4">
        <v>45672</v>
      </c>
      <c r="G347" s="4">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4">
        <v>45672</v>
      </c>
      <c r="G348" s="4">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4">
        <v>45672</v>
      </c>
      <c r="G349" s="4">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4">
        <v>45672</v>
      </c>
      <c r="G350" s="4">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4">
        <v>45672</v>
      </c>
      <c r="G351" s="4">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4">
        <v>45672</v>
      </c>
      <c r="G352" s="4">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4">
        <v>45672</v>
      </c>
      <c r="G353" s="4">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4">
        <v>45672</v>
      </c>
      <c r="G354" s="4">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4">
        <v>45673</v>
      </c>
      <c r="G355" s="4">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4">
        <v>45673</v>
      </c>
      <c r="G356" s="4">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4">
        <v>45673</v>
      </c>
      <c r="G357" s="4">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4">
        <v>45673</v>
      </c>
      <c r="G358" s="4">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4">
        <v>45673</v>
      </c>
      <c r="G359" s="4">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4">
        <v>45673</v>
      </c>
      <c r="G360" s="4">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4">
        <v>45673</v>
      </c>
      <c r="G361" s="4">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4">
        <v>45673</v>
      </c>
      <c r="G362" s="4">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4">
        <v>45673</v>
      </c>
      <c r="G363" s="4">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4">
        <v>45673</v>
      </c>
      <c r="G364" s="4">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4">
        <v>45673</v>
      </c>
      <c r="G365" s="4">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4">
        <v>45673</v>
      </c>
      <c r="G366" s="4">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4">
        <v>45673</v>
      </c>
      <c r="G367" s="4">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4">
        <v>45673</v>
      </c>
      <c r="G368" s="4">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4">
        <v>45673</v>
      </c>
      <c r="G369" s="4">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4">
        <v>45673</v>
      </c>
      <c r="G370" s="4">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4">
        <v>45673</v>
      </c>
      <c r="G371" s="4">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4">
        <v>45673</v>
      </c>
      <c r="G372" s="4">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4">
        <v>45674</v>
      </c>
      <c r="G373" s="4">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4">
        <v>45674</v>
      </c>
      <c r="G374" s="4">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4">
        <v>45674</v>
      </c>
      <c r="G375" s="4">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4">
        <v>45674</v>
      </c>
      <c r="G376" s="4">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4">
        <v>45674</v>
      </c>
      <c r="G377" s="4">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4">
        <v>45674</v>
      </c>
      <c r="G378" s="4">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4">
        <v>45674</v>
      </c>
      <c r="G379" s="4">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4">
        <v>45674</v>
      </c>
      <c r="G380" s="4">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4">
        <v>45674</v>
      </c>
      <c r="G381" s="4">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4">
        <v>45674</v>
      </c>
      <c r="G382" s="4">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4">
        <v>45674</v>
      </c>
      <c r="G383" s="4">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4">
        <v>45674</v>
      </c>
      <c r="G384" s="4">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4">
        <v>45674</v>
      </c>
      <c r="G385" s="4">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4">
        <v>45674</v>
      </c>
      <c r="G386" s="4">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4">
        <v>45674</v>
      </c>
      <c r="G387" s="4">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4">
        <v>45674</v>
      </c>
      <c r="G388" s="4">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4">
        <v>45674</v>
      </c>
      <c r="G389" s="4">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4">
        <v>45674</v>
      </c>
      <c r="G390" s="4">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4">
        <v>45674</v>
      </c>
      <c r="G391" s="4">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4">
        <v>45674</v>
      </c>
      <c r="G392" s="4">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4">
        <v>45675</v>
      </c>
      <c r="G393" s="4">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4">
        <v>45675</v>
      </c>
      <c r="G394" s="4">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4">
        <v>45675</v>
      </c>
      <c r="G395" s="4">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4">
        <v>45675</v>
      </c>
      <c r="G396" s="4">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4">
        <v>45675</v>
      </c>
      <c r="G397" s="4">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4">
        <v>45675</v>
      </c>
      <c r="G398" s="4">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4">
        <v>45675</v>
      </c>
      <c r="G399" s="4">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4">
        <v>45675</v>
      </c>
      <c r="G400" s="4">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4">
        <v>45675</v>
      </c>
      <c r="G401" s="4">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4">
        <v>45675</v>
      </c>
      <c r="G402" s="4">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4">
        <v>45675</v>
      </c>
      <c r="G403" s="4">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4">
        <v>45675</v>
      </c>
      <c r="G404" s="4">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4">
        <v>45675</v>
      </c>
      <c r="G405" s="4">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4">
        <v>45675</v>
      </c>
      <c r="G406" s="4">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4">
        <v>45675</v>
      </c>
      <c r="G407" s="4">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4">
        <v>45675</v>
      </c>
      <c r="G408" s="4">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4">
        <v>45676</v>
      </c>
      <c r="G409" s="4">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4">
        <v>45676</v>
      </c>
      <c r="G410" s="4">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4">
        <v>45676</v>
      </c>
      <c r="G411" s="4">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4">
        <v>45676</v>
      </c>
      <c r="G412" s="4">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4">
        <v>45676</v>
      </c>
      <c r="G413" s="4">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4">
        <v>45676</v>
      </c>
      <c r="G414" s="4">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4">
        <v>45676</v>
      </c>
      <c r="G415" s="4">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4">
        <v>45676</v>
      </c>
      <c r="G416" s="4">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4">
        <v>45676</v>
      </c>
      <c r="G417" s="4">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4">
        <v>45676</v>
      </c>
      <c r="G418" s="4">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4">
        <v>45676</v>
      </c>
      <c r="G419" s="4">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4">
        <v>45676</v>
      </c>
      <c r="G420" s="4">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4">
        <v>45676</v>
      </c>
      <c r="G421" s="4">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4">
        <v>45676</v>
      </c>
      <c r="G422" s="4">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4">
        <v>45676</v>
      </c>
      <c r="G423" s="4">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4">
        <v>45676</v>
      </c>
      <c r="G424" s="4">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4">
        <v>45676</v>
      </c>
      <c r="G425" s="4">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4">
        <v>45676</v>
      </c>
      <c r="G426" s="4">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4">
        <v>45676</v>
      </c>
      <c r="G427" s="4">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4">
        <v>45676</v>
      </c>
      <c r="G428" s="4">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4">
        <v>45676</v>
      </c>
      <c r="G429" s="4">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4">
        <v>45676</v>
      </c>
      <c r="G430" s="4">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4">
        <v>45676</v>
      </c>
      <c r="G431" s="4">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4">
        <v>45676</v>
      </c>
      <c r="G432" s="4">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4">
        <v>45676</v>
      </c>
      <c r="G433" s="4">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4">
        <v>45676</v>
      </c>
      <c r="G434" s="4">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4">
        <v>45676</v>
      </c>
      <c r="G435" s="4">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4">
        <v>45676</v>
      </c>
      <c r="G436" s="4">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4">
        <v>45676</v>
      </c>
      <c r="G437" s="4">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4">
        <v>45676</v>
      </c>
      <c r="G438" s="4">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4">
        <v>45676</v>
      </c>
      <c r="G439" s="4">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4">
        <v>45677</v>
      </c>
      <c r="G440" s="4">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4">
        <v>45677</v>
      </c>
      <c r="G441" s="4">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4">
        <v>45677</v>
      </c>
      <c r="G442" s="4">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4">
        <v>45677</v>
      </c>
      <c r="G443" s="4">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4">
        <v>45677</v>
      </c>
      <c r="G444" s="4">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4">
        <v>45677</v>
      </c>
      <c r="G445" s="4">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4">
        <v>45677</v>
      </c>
      <c r="G446" s="4">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4">
        <v>45677</v>
      </c>
      <c r="G447" s="4">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4">
        <v>45677</v>
      </c>
      <c r="G448" s="4">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4">
        <v>45677</v>
      </c>
      <c r="G449" s="4">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4">
        <v>45677</v>
      </c>
      <c r="G450" s="4">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4">
        <v>45677</v>
      </c>
      <c r="G451" s="4">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4">
        <v>45677</v>
      </c>
      <c r="G452" s="4">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4">
        <v>45677</v>
      </c>
      <c r="G453" s="4">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4">
        <v>45677</v>
      </c>
      <c r="G454" s="4">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4">
        <v>45677</v>
      </c>
      <c r="G455" s="4">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4">
        <v>45677</v>
      </c>
      <c r="G456" s="4">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4">
        <v>45677</v>
      </c>
      <c r="G457" s="4">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4">
        <v>45677</v>
      </c>
      <c r="G458" s="4">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4">
        <v>45678</v>
      </c>
      <c r="G459" s="4">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4">
        <v>45678</v>
      </c>
      <c r="G460" s="4">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4">
        <v>45678</v>
      </c>
      <c r="G461" s="4">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4">
        <v>45678</v>
      </c>
      <c r="G462" s="4">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4">
        <v>45678</v>
      </c>
      <c r="G463" s="4">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4">
        <v>45678</v>
      </c>
      <c r="G464" s="4">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4">
        <v>45678</v>
      </c>
      <c r="G465" s="4">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4">
        <v>45678</v>
      </c>
      <c r="G466" s="4">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4">
        <v>45678</v>
      </c>
      <c r="G467" s="4">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4">
        <v>45678</v>
      </c>
      <c r="G468" s="4">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4">
        <v>45678</v>
      </c>
      <c r="G469" s="4">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4">
        <v>45678</v>
      </c>
      <c r="G470" s="4">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4">
        <v>45678</v>
      </c>
      <c r="G471" s="4">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4">
        <v>45678</v>
      </c>
      <c r="G472" s="4">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4">
        <v>45678</v>
      </c>
      <c r="G473" s="4">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4">
        <v>45678</v>
      </c>
      <c r="G474" s="4">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4">
        <v>45678</v>
      </c>
      <c r="G475" s="4">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4">
        <v>45678</v>
      </c>
      <c r="G476" s="4">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4">
        <v>45678</v>
      </c>
      <c r="G477" s="4">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4">
        <v>45678</v>
      </c>
      <c r="G478" s="4">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4">
        <v>45678</v>
      </c>
      <c r="G479" s="4">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4">
        <v>45678</v>
      </c>
      <c r="G480" s="4">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4">
        <v>45678</v>
      </c>
      <c r="G481" s="4">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4">
        <v>45678</v>
      </c>
      <c r="G482" s="4">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4">
        <v>45678</v>
      </c>
      <c r="G483" s="4">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4">
        <v>45679</v>
      </c>
      <c r="G484" s="4">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4">
        <v>45679</v>
      </c>
      <c r="G485" s="4">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4">
        <v>45679</v>
      </c>
      <c r="G486" s="4">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4">
        <v>45679</v>
      </c>
      <c r="G487" s="4">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4">
        <v>45679</v>
      </c>
      <c r="G488" s="4">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4">
        <v>45679</v>
      </c>
      <c r="G489" s="4">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4">
        <v>45679</v>
      </c>
      <c r="G490" s="4">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4">
        <v>45679</v>
      </c>
      <c r="G491" s="4">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4">
        <v>45679</v>
      </c>
      <c r="G492" s="4">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4">
        <v>45679</v>
      </c>
      <c r="G493" s="4">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4">
        <v>45679</v>
      </c>
      <c r="G494" s="4">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4">
        <v>45679</v>
      </c>
      <c r="G495" s="4">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4">
        <v>45679</v>
      </c>
      <c r="G496" s="4">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4">
        <v>45679</v>
      </c>
      <c r="G497" s="4">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4">
        <v>45679</v>
      </c>
      <c r="G498" s="4">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4">
        <v>45679</v>
      </c>
      <c r="G499" s="4">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4">
        <v>45679</v>
      </c>
      <c r="G500" s="4">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4">
        <v>45679</v>
      </c>
      <c r="G501" s="4">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4">
        <v>45679</v>
      </c>
      <c r="G502" s="4">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4">
        <v>45679</v>
      </c>
      <c r="G503" s="4">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4">
        <v>45679</v>
      </c>
      <c r="G504" s="4">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4">
        <v>45679</v>
      </c>
      <c r="G505" s="4">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4">
        <v>45679</v>
      </c>
      <c r="G506" s="4">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4">
        <v>45679</v>
      </c>
      <c r="G507" s="4">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4">
        <v>45679</v>
      </c>
      <c r="G508" s="4">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4">
        <v>45679</v>
      </c>
      <c r="G509" s="4">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4">
        <v>45679</v>
      </c>
      <c r="G510" s="4">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4">
        <v>45679</v>
      </c>
      <c r="G511" s="4">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4">
        <v>45679</v>
      </c>
      <c r="G512" s="4">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4">
        <v>45679</v>
      </c>
      <c r="G513" s="4">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4">
        <v>45679</v>
      </c>
      <c r="G514" s="4">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4">
        <v>45679</v>
      </c>
      <c r="G515" s="4">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4">
        <v>45680</v>
      </c>
      <c r="G516" s="4">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4">
        <v>45680</v>
      </c>
      <c r="G517" s="4">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4">
        <v>45680</v>
      </c>
      <c r="G518" s="4">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4">
        <v>45680</v>
      </c>
      <c r="G519" s="4">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4">
        <v>45680</v>
      </c>
      <c r="G520" s="4">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4">
        <v>45680</v>
      </c>
      <c r="G521" s="4">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4">
        <v>45680</v>
      </c>
      <c r="G522" s="4">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4">
        <v>45680</v>
      </c>
      <c r="G523" s="4">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4">
        <v>45680</v>
      </c>
      <c r="G524" s="4">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4">
        <v>45680</v>
      </c>
      <c r="G525" s="4">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4">
        <v>45680</v>
      </c>
      <c r="G526" s="4">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4">
        <v>45680</v>
      </c>
      <c r="G527" s="4">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4">
        <v>45680</v>
      </c>
      <c r="G528" s="4">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4">
        <v>45680</v>
      </c>
      <c r="G529" s="4">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4">
        <v>45680</v>
      </c>
      <c r="G530" s="4">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4">
        <v>45680</v>
      </c>
      <c r="G531" s="4">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4">
        <v>45680</v>
      </c>
      <c r="G532" s="4">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4">
        <v>45680</v>
      </c>
      <c r="G533" s="4">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4">
        <v>45680</v>
      </c>
      <c r="G534" s="4">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4">
        <v>45680</v>
      </c>
      <c r="G535" s="4">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4">
        <v>45680</v>
      </c>
      <c r="G536" s="4">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4">
        <v>45680</v>
      </c>
      <c r="G537" s="4">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4">
        <v>45680</v>
      </c>
      <c r="G538" s="4">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4">
        <v>45680</v>
      </c>
      <c r="G539" s="4">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4">
        <v>45680</v>
      </c>
      <c r="G540" s="4">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4">
        <v>45680</v>
      </c>
      <c r="G541" s="4">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4">
        <v>45680</v>
      </c>
      <c r="G542" s="4">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4">
        <v>45680</v>
      </c>
      <c r="G543" s="4">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4">
        <v>45680</v>
      </c>
      <c r="G544" s="4">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4">
        <v>45680</v>
      </c>
      <c r="G545" s="4">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4">
        <v>45680</v>
      </c>
      <c r="G546" s="4">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4">
        <v>45681</v>
      </c>
      <c r="G547" s="4">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4">
        <v>45681</v>
      </c>
      <c r="G548" s="4">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4">
        <v>45681</v>
      </c>
      <c r="G549" s="4">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4">
        <v>45681</v>
      </c>
      <c r="G550" s="4">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4">
        <v>45681</v>
      </c>
      <c r="G551" s="4">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4">
        <v>45681</v>
      </c>
      <c r="G552" s="4">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4">
        <v>45681</v>
      </c>
      <c r="G553" s="4">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4">
        <v>45681</v>
      </c>
      <c r="G554" s="4">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4">
        <v>45681</v>
      </c>
      <c r="G555" s="4">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4">
        <v>45681</v>
      </c>
      <c r="G556" s="4">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4">
        <v>45681</v>
      </c>
      <c r="G557" s="4">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4">
        <v>45681</v>
      </c>
      <c r="G558" s="4">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4">
        <v>45681</v>
      </c>
      <c r="G559" s="4">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4">
        <v>45681</v>
      </c>
      <c r="G560" s="4">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4">
        <v>45681</v>
      </c>
      <c r="G561" s="4">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4">
        <v>45681</v>
      </c>
      <c r="G562" s="4">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4">
        <v>45681</v>
      </c>
      <c r="G563" s="4">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4">
        <v>45681</v>
      </c>
      <c r="G564" s="4">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4">
        <v>45682</v>
      </c>
      <c r="G565" s="4">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4">
        <v>45682</v>
      </c>
      <c r="G566" s="4">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4">
        <v>45682</v>
      </c>
      <c r="G567" s="4">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4">
        <v>45682</v>
      </c>
      <c r="G568" s="4">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4">
        <v>45682</v>
      </c>
      <c r="G569" s="4">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4">
        <v>45682</v>
      </c>
      <c r="G570" s="4">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4">
        <v>45682</v>
      </c>
      <c r="G571" s="4">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4">
        <v>45682</v>
      </c>
      <c r="G572" s="4">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4">
        <v>45682</v>
      </c>
      <c r="G573" s="4">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4">
        <v>45682</v>
      </c>
      <c r="G574" s="4">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4">
        <v>45682</v>
      </c>
      <c r="G575" s="4">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4">
        <v>45682</v>
      </c>
      <c r="G576" s="4">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4">
        <v>45682</v>
      </c>
      <c r="G577" s="4">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4">
        <v>45682</v>
      </c>
      <c r="G578" s="4">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4">
        <v>45682</v>
      </c>
      <c r="G579" s="4">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4">
        <v>45682</v>
      </c>
      <c r="G580" s="4">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4">
        <v>45682</v>
      </c>
      <c r="G581" s="4">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4">
        <v>45682</v>
      </c>
      <c r="G582" s="4">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4">
        <v>45682</v>
      </c>
      <c r="G583" s="4">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4">
        <v>45683</v>
      </c>
      <c r="G584" s="4">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4">
        <v>45683</v>
      </c>
      <c r="G585" s="4">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4">
        <v>45683</v>
      </c>
      <c r="G586" s="4">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4">
        <v>45683</v>
      </c>
      <c r="G587" s="4">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4">
        <v>45683</v>
      </c>
      <c r="G588" s="4">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4">
        <v>45683</v>
      </c>
      <c r="G589" s="4">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4">
        <v>45683</v>
      </c>
      <c r="G590" s="4">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4">
        <v>45683</v>
      </c>
      <c r="G591" s="4">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4">
        <v>45683</v>
      </c>
      <c r="G592" s="4">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4">
        <v>45683</v>
      </c>
      <c r="G593" s="4">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4">
        <v>45683</v>
      </c>
      <c r="G594" s="4">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4">
        <v>45683</v>
      </c>
      <c r="G595" s="4">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4">
        <v>45683</v>
      </c>
      <c r="G596" s="4">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4">
        <v>45683</v>
      </c>
      <c r="G597" s="4">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4">
        <v>45683</v>
      </c>
      <c r="G598" s="4">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4">
        <v>45683</v>
      </c>
      <c r="G599" s="4">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4">
        <v>45683</v>
      </c>
      <c r="G600" s="4">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4">
        <v>45683</v>
      </c>
      <c r="G601" s="4">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4">
        <v>45683</v>
      </c>
      <c r="G602" s="4">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4">
        <v>45683</v>
      </c>
      <c r="G603" s="4">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4">
        <v>45683</v>
      </c>
      <c r="G604" s="4">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4">
        <v>45683</v>
      </c>
      <c r="G605" s="4">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4">
        <v>45683</v>
      </c>
      <c r="G606" s="4">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4">
        <v>45683</v>
      </c>
      <c r="G607" s="4">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4">
        <v>45683</v>
      </c>
      <c r="G608" s="4">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4">
        <v>45683</v>
      </c>
      <c r="G609" s="4">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4">
        <v>45683</v>
      </c>
      <c r="G610" s="4">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4">
        <v>45683</v>
      </c>
      <c r="G611" s="4">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4">
        <v>45683</v>
      </c>
      <c r="G612" s="4">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4">
        <v>45683</v>
      </c>
      <c r="G613" s="4">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4">
        <v>45683</v>
      </c>
      <c r="G614" s="4">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4">
        <v>45683</v>
      </c>
      <c r="G615" s="4">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4">
        <v>45683</v>
      </c>
      <c r="G616" s="4">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4">
        <v>45683</v>
      </c>
      <c r="G617" s="4">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4">
        <v>45683</v>
      </c>
      <c r="G618" s="4">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4">
        <v>45684</v>
      </c>
      <c r="G619" s="4">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4">
        <v>45684</v>
      </c>
      <c r="G620" s="4">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4">
        <v>45684</v>
      </c>
      <c r="G621" s="4">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4">
        <v>45684</v>
      </c>
      <c r="G622" s="4">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4">
        <v>45684</v>
      </c>
      <c r="G623" s="4">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4">
        <v>45684</v>
      </c>
      <c r="G624" s="4">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4">
        <v>45684</v>
      </c>
      <c r="G625" s="4">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4">
        <v>45684</v>
      </c>
      <c r="G626" s="4">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4">
        <v>45684</v>
      </c>
      <c r="G627" s="4">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4">
        <v>45684</v>
      </c>
      <c r="G628" s="4">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4">
        <v>45684</v>
      </c>
      <c r="G629" s="4">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4">
        <v>45684</v>
      </c>
      <c r="G630" s="4">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4">
        <v>45684</v>
      </c>
      <c r="G631" s="4">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4">
        <v>45685</v>
      </c>
      <c r="G632" s="4">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4">
        <v>45685</v>
      </c>
      <c r="G633" s="4">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4">
        <v>45685</v>
      </c>
      <c r="G634" s="4">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4">
        <v>45685</v>
      </c>
      <c r="G635" s="4">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4">
        <v>45685</v>
      </c>
      <c r="G636" s="4">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4">
        <v>45685</v>
      </c>
      <c r="G637" s="4">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4">
        <v>45685</v>
      </c>
      <c r="G638" s="4">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4">
        <v>45685</v>
      </c>
      <c r="G639" s="4">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4">
        <v>45685</v>
      </c>
      <c r="G640" s="4">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4">
        <v>45685</v>
      </c>
      <c r="G641" s="4">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4">
        <v>45685</v>
      </c>
      <c r="G642" s="4">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4">
        <v>45685</v>
      </c>
      <c r="G643" s="4">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4">
        <v>45685</v>
      </c>
      <c r="G644" s="4">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4">
        <v>45685</v>
      </c>
      <c r="G645" s="4">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4">
        <v>45685</v>
      </c>
      <c r="G646" s="4">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4">
        <v>45685</v>
      </c>
      <c r="G647" s="4">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4">
        <v>45686</v>
      </c>
      <c r="G648" s="4">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4">
        <v>45686</v>
      </c>
      <c r="G649" s="4">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4">
        <v>45686</v>
      </c>
      <c r="G650" s="4">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4">
        <v>45686</v>
      </c>
      <c r="G651" s="4">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4">
        <v>45686</v>
      </c>
      <c r="G652" s="4">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4">
        <v>45686</v>
      </c>
      <c r="G653" s="4">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4">
        <v>45686</v>
      </c>
      <c r="G654" s="4">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4">
        <v>45686</v>
      </c>
      <c r="G655" s="4">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4">
        <v>45686</v>
      </c>
      <c r="G656" s="4">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4">
        <v>45686</v>
      </c>
      <c r="G657" s="4">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4">
        <v>45686</v>
      </c>
      <c r="G658" s="4">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4">
        <v>45686</v>
      </c>
      <c r="G659" s="4">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4">
        <v>45686</v>
      </c>
      <c r="G660" s="4">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4">
        <v>45686</v>
      </c>
      <c r="G661" s="4">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4">
        <v>45686</v>
      </c>
      <c r="G662" s="4">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4">
        <v>45686</v>
      </c>
      <c r="G663" s="4">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4">
        <v>45686</v>
      </c>
      <c r="G664" s="4">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4">
        <v>45686</v>
      </c>
      <c r="G665" s="4">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4">
        <v>45686</v>
      </c>
      <c r="G666" s="4">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4">
        <v>45686</v>
      </c>
      <c r="G667" s="4">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4">
        <v>45686</v>
      </c>
      <c r="G668" s="4">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4">
        <v>45686</v>
      </c>
      <c r="G669" s="4">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4">
        <v>45686</v>
      </c>
      <c r="G670" s="4">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4">
        <v>45686</v>
      </c>
      <c r="G671" s="4">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4">
        <v>45686</v>
      </c>
      <c r="G672" s="4">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4">
        <v>45686</v>
      </c>
      <c r="G673" s="4">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4">
        <v>45686</v>
      </c>
      <c r="G674" s="4">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4">
        <v>45686</v>
      </c>
      <c r="G675" s="4">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4">
        <v>45686</v>
      </c>
      <c r="G676" s="4">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4">
        <v>45686</v>
      </c>
      <c r="G677" s="4">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4">
        <v>45686</v>
      </c>
      <c r="G678" s="4">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4">
        <v>45686</v>
      </c>
      <c r="G679" s="4">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4">
        <v>45687</v>
      </c>
      <c r="G680" s="4">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4">
        <v>45687</v>
      </c>
      <c r="G681" s="4">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4">
        <v>45687</v>
      </c>
      <c r="G682" s="4">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4">
        <v>45687</v>
      </c>
      <c r="G683" s="4">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4">
        <v>45687</v>
      </c>
      <c r="G684" s="4">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4">
        <v>45687</v>
      </c>
      <c r="G685" s="4">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4">
        <v>45687</v>
      </c>
      <c r="G686" s="4">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4">
        <v>45687</v>
      </c>
      <c r="G687" s="4">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4">
        <v>45687</v>
      </c>
      <c r="G688" s="4">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4">
        <v>45687</v>
      </c>
      <c r="G689" s="4">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4">
        <v>45687</v>
      </c>
      <c r="G690" s="4">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4">
        <v>45687</v>
      </c>
      <c r="G691" s="4">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4">
        <v>45687</v>
      </c>
      <c r="G692" s="4">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4">
        <v>45687</v>
      </c>
      <c r="G693" s="4">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4">
        <v>45687</v>
      </c>
      <c r="G694" s="4">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4">
        <v>45687</v>
      </c>
      <c r="G695" s="4">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4">
        <v>45687</v>
      </c>
      <c r="G696" s="4">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4">
        <v>45687</v>
      </c>
      <c r="G697" s="4">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4">
        <v>45687</v>
      </c>
      <c r="G698" s="4">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4">
        <v>45687</v>
      </c>
      <c r="G699" s="4">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4">
        <v>45687</v>
      </c>
      <c r="G700" s="4">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4">
        <v>45687</v>
      </c>
      <c r="G701" s="4">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4">
        <v>45687</v>
      </c>
      <c r="G702" s="4">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4">
        <v>45687</v>
      </c>
      <c r="G703" s="4">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4">
        <v>45687</v>
      </c>
      <c r="G704" s="4">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4">
        <v>45687</v>
      </c>
      <c r="G705" s="4">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4">
        <v>45687</v>
      </c>
      <c r="G706" s="4">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4">
        <v>45687</v>
      </c>
      <c r="G707" s="4">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4">
        <v>45687</v>
      </c>
      <c r="G708" s="4">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4">
        <v>45688</v>
      </c>
      <c r="G709" s="4">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4">
        <v>45688</v>
      </c>
      <c r="G710" s="4">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4">
        <v>45688</v>
      </c>
      <c r="G711" s="4">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4">
        <v>45688</v>
      </c>
      <c r="G712" s="4">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4">
        <v>45688</v>
      </c>
      <c r="G713" s="4">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4">
        <v>45688</v>
      </c>
      <c r="G714" s="4">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4">
        <v>45688</v>
      </c>
      <c r="G715" s="4">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4">
        <v>45688</v>
      </c>
      <c r="G716" s="4">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4">
        <v>45688</v>
      </c>
      <c r="G717" s="4">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4">
        <v>45688</v>
      </c>
      <c r="G718" s="4">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4">
        <v>45688</v>
      </c>
      <c r="G719" s="4">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4">
        <v>45688</v>
      </c>
      <c r="G720" s="4">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4">
        <v>45688</v>
      </c>
      <c r="G721" s="4">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4">
        <v>45688</v>
      </c>
      <c r="G722" s="4">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4">
        <v>45688</v>
      </c>
      <c r="G723" s="4">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4">
        <v>45688</v>
      </c>
      <c r="G724" s="4">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4">
        <v>45688</v>
      </c>
      <c r="G725" s="4">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4">
        <v>45688</v>
      </c>
      <c r="G726" s="4">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4">
        <v>45688</v>
      </c>
      <c r="G727" s="4">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4">
        <v>45688</v>
      </c>
      <c r="G728" s="4">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4">
        <v>45688</v>
      </c>
      <c r="G729" s="4">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4">
        <v>45688</v>
      </c>
      <c r="G730" s="4">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4">
        <v>45688</v>
      </c>
      <c r="G731" s="4">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4">
        <v>45689</v>
      </c>
      <c r="G732" s="4">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4">
        <v>45689</v>
      </c>
      <c r="G733" s="4">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4">
        <v>45689</v>
      </c>
      <c r="G734" s="4">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4">
        <v>45689</v>
      </c>
      <c r="G735" s="4">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4">
        <v>45689</v>
      </c>
      <c r="G736" s="4">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4">
        <v>45689</v>
      </c>
      <c r="G737" s="4">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4">
        <v>45689</v>
      </c>
      <c r="G738" s="4">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4">
        <v>45689</v>
      </c>
      <c r="G739" s="4">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4">
        <v>45689</v>
      </c>
      <c r="G740" s="4">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4">
        <v>45689</v>
      </c>
      <c r="G741" s="4">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4">
        <v>45689</v>
      </c>
      <c r="G742" s="4">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4">
        <v>45689</v>
      </c>
      <c r="G743" s="4">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4">
        <v>45689</v>
      </c>
      <c r="G744" s="4">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4">
        <v>45689</v>
      </c>
      <c r="G745" s="4">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4">
        <v>45690</v>
      </c>
      <c r="G746" s="4">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4">
        <v>45690</v>
      </c>
      <c r="G747" s="4">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4">
        <v>45690</v>
      </c>
      <c r="G748" s="4">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4">
        <v>45690</v>
      </c>
      <c r="G749" s="4">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4">
        <v>45690</v>
      </c>
      <c r="G750" s="4">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4">
        <v>45690</v>
      </c>
      <c r="G751" s="4">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4">
        <v>45690</v>
      </c>
      <c r="G752" s="4">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4">
        <v>45690</v>
      </c>
      <c r="G753" s="4">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4">
        <v>45690</v>
      </c>
      <c r="G754" s="4">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4">
        <v>45690</v>
      </c>
      <c r="G755" s="4">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4">
        <v>45690</v>
      </c>
      <c r="G756" s="4">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4">
        <v>45690</v>
      </c>
      <c r="G757" s="4">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4">
        <v>45690</v>
      </c>
      <c r="G758" s="4">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4">
        <v>45690</v>
      </c>
      <c r="G759" s="4">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4">
        <v>45690</v>
      </c>
      <c r="G760" s="4">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4">
        <v>45690</v>
      </c>
      <c r="G761" s="4">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4">
        <v>45690</v>
      </c>
      <c r="G762" s="4">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4">
        <v>45690</v>
      </c>
      <c r="G763" s="4">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4">
        <v>45690</v>
      </c>
      <c r="G764" s="4">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4">
        <v>45690</v>
      </c>
      <c r="G765" s="4">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4">
        <v>45690</v>
      </c>
      <c r="G766" s="4">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4">
        <v>45690</v>
      </c>
      <c r="G767" s="4">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4">
        <v>45690</v>
      </c>
      <c r="G768" s="4">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4">
        <v>45690</v>
      </c>
      <c r="G769" s="4">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4">
        <v>45690</v>
      </c>
      <c r="G770" s="4">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4">
        <v>45690</v>
      </c>
      <c r="G771" s="4">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4">
        <v>45690</v>
      </c>
      <c r="G772" s="4">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4">
        <v>45690</v>
      </c>
      <c r="G773" s="4">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4">
        <v>45690</v>
      </c>
      <c r="G774" s="4">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4">
        <v>45690</v>
      </c>
      <c r="G775" s="4">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4">
        <v>45690</v>
      </c>
      <c r="G776" s="4">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4">
        <v>45690</v>
      </c>
      <c r="G777" s="4">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4">
        <v>45690</v>
      </c>
      <c r="G778" s="4">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4">
        <v>45690</v>
      </c>
      <c r="G779" s="4">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4">
        <v>45690</v>
      </c>
      <c r="G780" s="4">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4">
        <v>45690</v>
      </c>
      <c r="G781" s="4">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4">
        <v>45690</v>
      </c>
      <c r="G782" s="4">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4">
        <v>45691</v>
      </c>
      <c r="G783" s="4">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4">
        <v>45691</v>
      </c>
      <c r="G784" s="4">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4">
        <v>45691</v>
      </c>
      <c r="G785" s="4">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4">
        <v>45691</v>
      </c>
      <c r="G786" s="4">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4">
        <v>45691</v>
      </c>
      <c r="G787" s="4">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4">
        <v>45691</v>
      </c>
      <c r="G788" s="4">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4">
        <v>45691</v>
      </c>
      <c r="G789" s="4">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4">
        <v>45691</v>
      </c>
      <c r="G790" s="4">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4">
        <v>45691</v>
      </c>
      <c r="G791" s="4">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4">
        <v>45691</v>
      </c>
      <c r="G792" s="4">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4">
        <v>45691</v>
      </c>
      <c r="G793" s="4">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4">
        <v>45691</v>
      </c>
      <c r="G794" s="4">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4">
        <v>45691</v>
      </c>
      <c r="G795" s="4">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4">
        <v>45691</v>
      </c>
      <c r="G796" s="4">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4">
        <v>45691</v>
      </c>
      <c r="G797" s="4">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4">
        <v>45691</v>
      </c>
      <c r="G798" s="4">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4">
        <v>45691</v>
      </c>
      <c r="G799" s="4">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4">
        <v>45691</v>
      </c>
      <c r="G800" s="4">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4">
        <v>45691</v>
      </c>
      <c r="G801" s="4">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4">
        <v>45691</v>
      </c>
      <c r="G802" s="4">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4">
        <v>45691</v>
      </c>
      <c r="G803" s="4">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4">
        <v>45691</v>
      </c>
      <c r="G804" s="4">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4">
        <v>45692</v>
      </c>
      <c r="G805" s="4">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4">
        <v>45692</v>
      </c>
      <c r="G806" s="4">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4">
        <v>45692</v>
      </c>
      <c r="G807" s="4">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4">
        <v>45692</v>
      </c>
      <c r="G808" s="4">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4">
        <v>45692</v>
      </c>
      <c r="G809" s="4">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4">
        <v>45692</v>
      </c>
      <c r="G810" s="4">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4">
        <v>45692</v>
      </c>
      <c r="G811" s="4">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4">
        <v>45692</v>
      </c>
      <c r="G812" s="4">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4">
        <v>45692</v>
      </c>
      <c r="G813" s="4">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4">
        <v>45692</v>
      </c>
      <c r="G814" s="4">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4">
        <v>45692</v>
      </c>
      <c r="G815" s="4">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4">
        <v>45692</v>
      </c>
      <c r="G816" s="4">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4">
        <v>45692</v>
      </c>
      <c r="G817" s="4">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4">
        <v>45692</v>
      </c>
      <c r="G818" s="4">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4">
        <v>45692</v>
      </c>
      <c r="G819" s="4">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4">
        <v>45692</v>
      </c>
      <c r="G820" s="4">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4">
        <v>45692</v>
      </c>
      <c r="G821" s="4">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4">
        <v>45692</v>
      </c>
      <c r="G822" s="4">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4">
        <v>45692</v>
      </c>
      <c r="G823" s="4">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4">
        <v>45692</v>
      </c>
      <c r="G824" s="4">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4">
        <v>45692</v>
      </c>
      <c r="G825" s="4">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4">
        <v>45692</v>
      </c>
      <c r="G826" s="4">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4">
        <v>45692</v>
      </c>
      <c r="G827" s="4">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4">
        <v>45692</v>
      </c>
      <c r="G828" s="4">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4">
        <v>45692</v>
      </c>
      <c r="G829" s="4">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4">
        <v>45692</v>
      </c>
      <c r="G830" s="4">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4">
        <v>45692</v>
      </c>
      <c r="G831" s="4">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4">
        <v>45692</v>
      </c>
      <c r="G832" s="4">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4">
        <v>45692</v>
      </c>
      <c r="G833" s="4">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4">
        <v>45692</v>
      </c>
      <c r="G834" s="4">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4">
        <v>45692</v>
      </c>
      <c r="G835" s="4">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4">
        <v>45692</v>
      </c>
      <c r="G836" s="4">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4">
        <v>45692</v>
      </c>
      <c r="G837" s="4">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4">
        <v>45692</v>
      </c>
      <c r="G838" s="4">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4">
        <v>45692</v>
      </c>
      <c r="G839" s="4">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4">
        <v>45692</v>
      </c>
      <c r="G840" s="4">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4">
        <v>45692</v>
      </c>
      <c r="G841" s="4">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4">
        <v>45692</v>
      </c>
      <c r="G842" s="4">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4">
        <v>45692</v>
      </c>
      <c r="G843" s="4">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4">
        <v>45692</v>
      </c>
      <c r="G844" s="4">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4">
        <v>45692</v>
      </c>
      <c r="G845" s="4">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4">
        <v>45692</v>
      </c>
      <c r="G846" s="4">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4">
        <v>45692</v>
      </c>
      <c r="G847" s="4">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4">
        <v>45693</v>
      </c>
      <c r="G848" s="4">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4">
        <v>45693</v>
      </c>
      <c r="G849" s="4">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4">
        <v>45693</v>
      </c>
      <c r="G850" s="4">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4">
        <v>45693</v>
      </c>
      <c r="G851" s="4">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4">
        <v>45693</v>
      </c>
      <c r="G852" s="4">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4">
        <v>45693</v>
      </c>
      <c r="G853" s="4">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4">
        <v>45693</v>
      </c>
      <c r="G854" s="4">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4">
        <v>45693</v>
      </c>
      <c r="G855" s="4">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4">
        <v>45693</v>
      </c>
      <c r="G856" s="4">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4">
        <v>45693</v>
      </c>
      <c r="G857" s="4">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4">
        <v>45693</v>
      </c>
      <c r="G858" s="4">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4">
        <v>45693</v>
      </c>
      <c r="G859" s="4">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4">
        <v>45693</v>
      </c>
      <c r="G860" s="4">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4">
        <v>45693</v>
      </c>
      <c r="G861" s="4">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4">
        <v>45693</v>
      </c>
      <c r="G862" s="4">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4">
        <v>45693</v>
      </c>
      <c r="G863" s="4">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4">
        <v>45693</v>
      </c>
      <c r="G864" s="4">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4">
        <v>45693</v>
      </c>
      <c r="G865" s="4">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4">
        <v>45693</v>
      </c>
      <c r="G866" s="4">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4">
        <v>45693</v>
      </c>
      <c r="G867" s="4">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4">
        <v>45693</v>
      </c>
      <c r="G868" s="4">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4">
        <v>45693</v>
      </c>
      <c r="G869" s="4">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4">
        <v>45693</v>
      </c>
      <c r="G870" s="4">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4">
        <v>45693</v>
      </c>
      <c r="G871" s="4">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4">
        <v>45693</v>
      </c>
      <c r="G872" s="4">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4">
        <v>45693</v>
      </c>
      <c r="G873" s="4">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4">
        <v>45693</v>
      </c>
      <c r="G874" s="4">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4">
        <v>45693</v>
      </c>
      <c r="G875" s="4">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4">
        <v>45693</v>
      </c>
      <c r="G876" s="4">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4">
        <v>45694</v>
      </c>
      <c r="G877" s="4">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4">
        <v>45694</v>
      </c>
      <c r="G878" s="4">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4">
        <v>45694</v>
      </c>
      <c r="G879" s="4">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4">
        <v>45694</v>
      </c>
      <c r="G880" s="4">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4">
        <v>45694</v>
      </c>
      <c r="G881" s="4">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4">
        <v>45694</v>
      </c>
      <c r="G882" s="4">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4">
        <v>45694</v>
      </c>
      <c r="G883" s="4">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4">
        <v>45694</v>
      </c>
      <c r="G884" s="4">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4">
        <v>45694</v>
      </c>
      <c r="G885" s="4">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4">
        <v>45694</v>
      </c>
      <c r="G886" s="4">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4">
        <v>45694</v>
      </c>
      <c r="G887" s="4">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4">
        <v>45694</v>
      </c>
      <c r="G888" s="4">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4">
        <v>45694</v>
      </c>
      <c r="G889" s="4">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4">
        <v>45694</v>
      </c>
      <c r="G890" s="4">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4">
        <v>45694</v>
      </c>
      <c r="G891" s="4">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4">
        <v>45694</v>
      </c>
      <c r="G892" s="4">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4">
        <v>45694</v>
      </c>
      <c r="G893" s="4">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4">
        <v>45694</v>
      </c>
      <c r="G894" s="4">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4">
        <v>45694</v>
      </c>
      <c r="G895" s="4">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4">
        <v>45694</v>
      </c>
      <c r="G896" s="4">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4">
        <v>45694</v>
      </c>
      <c r="G897" s="4">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4">
        <v>45694</v>
      </c>
      <c r="G898" s="4">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4">
        <v>45694</v>
      </c>
      <c r="G899" s="4">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4">
        <v>45694</v>
      </c>
      <c r="G900" s="4">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4">
        <v>45694</v>
      </c>
      <c r="G901" s="4">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4">
        <v>45694</v>
      </c>
      <c r="G902" s="4">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4">
        <v>45694</v>
      </c>
      <c r="G903" s="4">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4">
        <v>45694</v>
      </c>
      <c r="G904" s="4">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4">
        <v>45694</v>
      </c>
      <c r="G905" s="4">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4">
        <v>45694</v>
      </c>
      <c r="G906" s="4">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4">
        <v>45694</v>
      </c>
      <c r="G907" s="4">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4">
        <v>45694</v>
      </c>
      <c r="G908" s="4">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4">
        <v>45694</v>
      </c>
      <c r="G909" s="4">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4">
        <v>45694</v>
      </c>
      <c r="G910" s="4">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4">
        <v>45694</v>
      </c>
      <c r="G911" s="4">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4">
        <v>45694</v>
      </c>
      <c r="G912" s="4">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4">
        <v>45694</v>
      </c>
      <c r="G913" s="4">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4">
        <v>45694</v>
      </c>
      <c r="G914" s="4">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4">
        <v>45694</v>
      </c>
      <c r="G915" s="4">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4">
        <v>45694</v>
      </c>
      <c r="G916" s="4">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4">
        <v>45694</v>
      </c>
      <c r="G917" s="4">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4">
        <v>45694</v>
      </c>
      <c r="G918" s="4">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4">
        <v>45694</v>
      </c>
      <c r="G919" s="4">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4">
        <v>45694</v>
      </c>
      <c r="G920" s="4">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4">
        <v>45694</v>
      </c>
      <c r="G921" s="4">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4">
        <v>45694</v>
      </c>
      <c r="G922" s="4">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4">
        <v>45694</v>
      </c>
      <c r="G923" s="4">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4">
        <v>45694</v>
      </c>
      <c r="G924" s="4">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4">
        <v>45694</v>
      </c>
      <c r="G925" s="4">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4">
        <v>45694</v>
      </c>
      <c r="G926" s="4">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4">
        <v>45694</v>
      </c>
      <c r="G927" s="4">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4">
        <v>45694</v>
      </c>
      <c r="G928" s="4">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4">
        <v>45694</v>
      </c>
      <c r="G929" s="4">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4">
        <v>45694</v>
      </c>
      <c r="G930" s="4">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4">
        <v>45694</v>
      </c>
      <c r="G931" s="4">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4">
        <v>45694</v>
      </c>
      <c r="G932" s="4">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4">
        <v>45695</v>
      </c>
      <c r="G933" s="4">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4">
        <v>45695</v>
      </c>
      <c r="G934" s="4">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4">
        <v>45695</v>
      </c>
      <c r="G935" s="4">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4">
        <v>45695</v>
      </c>
      <c r="G936" s="4">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4">
        <v>45695</v>
      </c>
      <c r="G937" s="4">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4">
        <v>45695</v>
      </c>
      <c r="G938" s="4">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4">
        <v>45695</v>
      </c>
      <c r="G939" s="4">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4">
        <v>45695</v>
      </c>
      <c r="G940" s="4">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4">
        <v>45695</v>
      </c>
      <c r="G941" s="4">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4">
        <v>45695</v>
      </c>
      <c r="G942" s="4">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4">
        <v>45695</v>
      </c>
      <c r="G943" s="4">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4">
        <v>45695</v>
      </c>
      <c r="G944" s="4">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4">
        <v>45695</v>
      </c>
      <c r="G945" s="4">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4">
        <v>45695</v>
      </c>
      <c r="G946" s="4">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4">
        <v>45695</v>
      </c>
      <c r="G947" s="4">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4">
        <v>45695</v>
      </c>
      <c r="G948" s="4">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4">
        <v>45695</v>
      </c>
      <c r="G949" s="4">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4">
        <v>45695</v>
      </c>
      <c r="G950" s="4">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4">
        <v>45695</v>
      </c>
      <c r="G951" s="4">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4">
        <v>45695</v>
      </c>
      <c r="G952" s="4">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4">
        <v>45695</v>
      </c>
      <c r="G953" s="4">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4">
        <v>45695</v>
      </c>
      <c r="G954" s="4">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4">
        <v>45696</v>
      </c>
      <c r="G955" s="4">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4">
        <v>45696</v>
      </c>
      <c r="G956" s="4">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4">
        <v>45696</v>
      </c>
      <c r="G957" s="4">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4">
        <v>45696</v>
      </c>
      <c r="G958" s="4">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4">
        <v>45696</v>
      </c>
      <c r="G959" s="4">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4">
        <v>45696</v>
      </c>
      <c r="G960" s="4">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4">
        <v>45696</v>
      </c>
      <c r="G961" s="4">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4">
        <v>45696</v>
      </c>
      <c r="G962" s="4">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4">
        <v>45696</v>
      </c>
      <c r="G963" s="4">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4">
        <v>45696</v>
      </c>
      <c r="G964" s="4">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4">
        <v>45696</v>
      </c>
      <c r="G965" s="4">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4">
        <v>45696</v>
      </c>
      <c r="G966" s="4">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4">
        <v>45696</v>
      </c>
      <c r="G967" s="4">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4">
        <v>45696</v>
      </c>
      <c r="G968" s="4">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4">
        <v>45696</v>
      </c>
      <c r="G969" s="4">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4">
        <v>45696</v>
      </c>
      <c r="G970" s="4">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4">
        <v>45696</v>
      </c>
      <c r="G971" s="4">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4">
        <v>45696</v>
      </c>
      <c r="G972" s="4">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4">
        <v>45696</v>
      </c>
      <c r="G973" s="4">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4">
        <v>45696</v>
      </c>
      <c r="G974" s="4">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4">
        <v>45696</v>
      </c>
      <c r="G975" s="4">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4">
        <v>45696</v>
      </c>
      <c r="G976" s="4">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4">
        <v>45696</v>
      </c>
      <c r="G977" s="4">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4">
        <v>45696</v>
      </c>
      <c r="G978" s="4">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4">
        <v>45696</v>
      </c>
      <c r="G979" s="4">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4">
        <v>45696</v>
      </c>
      <c r="G980" s="4">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4">
        <v>45696</v>
      </c>
      <c r="G981" s="4">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4">
        <v>45696</v>
      </c>
      <c r="G982" s="4">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4">
        <v>45696</v>
      </c>
      <c r="G983" s="4">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4">
        <v>45696</v>
      </c>
      <c r="G984" s="4">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4">
        <v>45696</v>
      </c>
      <c r="G985" s="4">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4">
        <v>45697</v>
      </c>
      <c r="G986" s="4">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4">
        <v>45697</v>
      </c>
      <c r="G987" s="4">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4">
        <v>45697</v>
      </c>
      <c r="G988" s="4">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4">
        <v>45697</v>
      </c>
      <c r="G989" s="4">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4">
        <v>45697</v>
      </c>
      <c r="G990" s="4">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4">
        <v>45697</v>
      </c>
      <c r="G991" s="4">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4">
        <v>45697</v>
      </c>
      <c r="G992" s="4">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4">
        <v>45697</v>
      </c>
      <c r="G993" s="4">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4">
        <v>45697</v>
      </c>
      <c r="G994" s="4">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4">
        <v>45697</v>
      </c>
      <c r="G995" s="4">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4">
        <v>45697</v>
      </c>
      <c r="G996" s="4">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4">
        <v>45697</v>
      </c>
      <c r="G997" s="4">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4">
        <v>45697</v>
      </c>
      <c r="G998" s="4">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4">
        <v>45697</v>
      </c>
      <c r="G999" s="4">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4">
        <v>45697</v>
      </c>
      <c r="G1000" s="4">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4">
        <v>45697</v>
      </c>
      <c r="G1001" s="4">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4">
        <v>45697</v>
      </c>
      <c r="G1002" s="4">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4">
        <v>45697</v>
      </c>
      <c r="G1003" s="4">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4">
        <v>45697</v>
      </c>
      <c r="G1004" s="4">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4">
        <v>45697</v>
      </c>
      <c r="G1005" s="4">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4">
        <v>45697</v>
      </c>
      <c r="G1006" s="4">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4">
        <v>45697</v>
      </c>
      <c r="G1007" s="4">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4">
        <v>45697</v>
      </c>
      <c r="G1008" s="4">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4">
        <v>45697</v>
      </c>
      <c r="G1009" s="4">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4">
        <v>45697</v>
      </c>
      <c r="G1010" s="4">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4">
        <v>45697</v>
      </c>
      <c r="G1011" s="4">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4">
        <v>45697</v>
      </c>
      <c r="G1012" s="4">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4">
        <v>45697</v>
      </c>
      <c r="G1013" s="4">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4">
        <v>45697</v>
      </c>
      <c r="G1014" s="4">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4">
        <v>45697</v>
      </c>
      <c r="G1015" s="4">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4">
        <v>45697</v>
      </c>
      <c r="G1016" s="4">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4">
        <v>45697</v>
      </c>
      <c r="G1017" s="4">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4">
        <v>45697</v>
      </c>
      <c r="G1018" s="4">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4">
        <v>45697</v>
      </c>
      <c r="G1019" s="4">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4">
        <v>45697</v>
      </c>
      <c r="G1020" s="4">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4">
        <v>45697</v>
      </c>
      <c r="G1021" s="4">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4">
        <v>45698</v>
      </c>
      <c r="G1022" s="4">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4">
        <v>45698</v>
      </c>
      <c r="G1023" s="4">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4">
        <v>45698</v>
      </c>
      <c r="G1024" s="4">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4">
        <v>45698</v>
      </c>
      <c r="G1025" s="4">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4">
        <v>45698</v>
      </c>
      <c r="G1026" s="4">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4">
        <v>45698</v>
      </c>
      <c r="G1027" s="4">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4">
        <v>45698</v>
      </c>
      <c r="G1028" s="4">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4">
        <v>45698</v>
      </c>
      <c r="G1029" s="4">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4">
        <v>45698</v>
      </c>
      <c r="G1030" s="4">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4">
        <v>45698</v>
      </c>
      <c r="G1031" s="4">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4">
        <v>45698</v>
      </c>
      <c r="G1032" s="4">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4">
        <v>45698</v>
      </c>
      <c r="G1033" s="4">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4">
        <v>45698</v>
      </c>
      <c r="G1034" s="4">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4">
        <v>45698</v>
      </c>
      <c r="G1035" s="4">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4">
        <v>45698</v>
      </c>
      <c r="G1036" s="4">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4">
        <v>45698</v>
      </c>
      <c r="G1037" s="4">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4">
        <v>45698</v>
      </c>
      <c r="G1038" s="4">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4">
        <v>45698</v>
      </c>
      <c r="G1039" s="4">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4">
        <v>45698</v>
      </c>
      <c r="G1040" s="4">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4">
        <v>45698</v>
      </c>
      <c r="G1041" s="4">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4">
        <v>45698</v>
      </c>
      <c r="G1042" s="4">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4">
        <v>45698</v>
      </c>
      <c r="G1043" s="4">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4">
        <v>45698</v>
      </c>
      <c r="G1044" s="4">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4">
        <v>45698</v>
      </c>
      <c r="G1045" s="4">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4">
        <v>45698</v>
      </c>
      <c r="G1046" s="4">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4">
        <v>45698</v>
      </c>
      <c r="G1047" s="4">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4">
        <v>45698</v>
      </c>
      <c r="G1048" s="4">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4">
        <v>45698</v>
      </c>
      <c r="G1049" s="4">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4">
        <v>45699</v>
      </c>
      <c r="G1050" s="4">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4">
        <v>45699</v>
      </c>
      <c r="G1051" s="4">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4">
        <v>45699</v>
      </c>
      <c r="G1052" s="4">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4">
        <v>45699</v>
      </c>
      <c r="G1053" s="4">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4">
        <v>45699</v>
      </c>
      <c r="G1054" s="4">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4">
        <v>45699</v>
      </c>
      <c r="G1055" s="4">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4">
        <v>45699</v>
      </c>
      <c r="G1056" s="4">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4">
        <v>45699</v>
      </c>
      <c r="G1057" s="4">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4">
        <v>45699</v>
      </c>
      <c r="G1058" s="4">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4">
        <v>45699</v>
      </c>
      <c r="G1059" s="4">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4">
        <v>45699</v>
      </c>
      <c r="G1060" s="4">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4">
        <v>45699</v>
      </c>
      <c r="G1061" s="4">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4">
        <v>45699</v>
      </c>
      <c r="G1062" s="4">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4">
        <v>45699</v>
      </c>
      <c r="G1063" s="4">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4">
        <v>45699</v>
      </c>
      <c r="G1064" s="4">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4">
        <v>45699</v>
      </c>
      <c r="G1065" s="4">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4">
        <v>45699</v>
      </c>
      <c r="G1066" s="4">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4">
        <v>45699</v>
      </c>
      <c r="G1067" s="4">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4">
        <v>45699</v>
      </c>
      <c r="G1068" s="4">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4">
        <v>45699</v>
      </c>
      <c r="G1069" s="4">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4">
        <v>45699</v>
      </c>
      <c r="G1070" s="4">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4">
        <v>45699</v>
      </c>
      <c r="G1071" s="4">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4">
        <v>45699</v>
      </c>
      <c r="G1072" s="4">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4">
        <v>45699</v>
      </c>
      <c r="G1073" s="4">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4">
        <v>45699</v>
      </c>
      <c r="G1074" s="4">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4">
        <v>45699</v>
      </c>
      <c r="G1075" s="4">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4">
        <v>45700</v>
      </c>
      <c r="G1076" s="4">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4">
        <v>45700</v>
      </c>
      <c r="G1077" s="4">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4">
        <v>45700</v>
      </c>
      <c r="G1078" s="4">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4">
        <v>45700</v>
      </c>
      <c r="G1079" s="4">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4">
        <v>45700</v>
      </c>
      <c r="G1080" s="4">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4">
        <v>45700</v>
      </c>
      <c r="G1081" s="4">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4">
        <v>45700</v>
      </c>
      <c r="G1082" s="4">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4">
        <v>45700</v>
      </c>
      <c r="G1083" s="4">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4">
        <v>45700</v>
      </c>
      <c r="G1084" s="4">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4">
        <v>45700</v>
      </c>
      <c r="G1085" s="4">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4">
        <v>45700</v>
      </c>
      <c r="G1086" s="4">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4">
        <v>45700</v>
      </c>
      <c r="G1087" s="4">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4">
        <v>45700</v>
      </c>
      <c r="G1088" s="4">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4">
        <v>45700</v>
      </c>
      <c r="G1089" s="4">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4">
        <v>45700</v>
      </c>
      <c r="G1090" s="4">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4">
        <v>45700</v>
      </c>
      <c r="G1091" s="4">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4">
        <v>45700</v>
      </c>
      <c r="G1092" s="4">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4">
        <v>45700</v>
      </c>
      <c r="G1093" s="4">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4">
        <v>45700</v>
      </c>
      <c r="G1094" s="4">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4">
        <v>45700</v>
      </c>
      <c r="G1095" s="4">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4">
        <v>45700</v>
      </c>
      <c r="G1096" s="4">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4">
        <v>45700</v>
      </c>
      <c r="G1097" s="4">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4">
        <v>45700</v>
      </c>
      <c r="G1098" s="4">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4">
        <v>45701</v>
      </c>
      <c r="G1099" s="4">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4">
        <v>45701</v>
      </c>
      <c r="G1100" s="4">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4">
        <v>45701</v>
      </c>
      <c r="G1101" s="4">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4">
        <v>45701</v>
      </c>
      <c r="G1102" s="4">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4">
        <v>45701</v>
      </c>
      <c r="G1103" s="4">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4">
        <v>45701</v>
      </c>
      <c r="G1104" s="4">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4">
        <v>45701</v>
      </c>
      <c r="G1105" s="4">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4">
        <v>45701</v>
      </c>
      <c r="G1106" s="4">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4">
        <v>45701</v>
      </c>
      <c r="G1107" s="4">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4">
        <v>45701</v>
      </c>
      <c r="G1108" s="4">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4">
        <v>45701</v>
      </c>
      <c r="G1109" s="4">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4">
        <v>45701</v>
      </c>
      <c r="G1110" s="4">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4">
        <v>45701</v>
      </c>
      <c r="G1111" s="4">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4">
        <v>45701</v>
      </c>
      <c r="G1112" s="4">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4">
        <v>45701</v>
      </c>
      <c r="G1113" s="4">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4">
        <v>45701</v>
      </c>
      <c r="G1114" s="4">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4">
        <v>45701</v>
      </c>
      <c r="G1115" s="4">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4">
        <v>45701</v>
      </c>
      <c r="G1116" s="4">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4">
        <v>45701</v>
      </c>
      <c r="G1117" s="4">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4">
        <v>45701</v>
      </c>
      <c r="G1118" s="4">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4">
        <v>45701</v>
      </c>
      <c r="G1119" s="4">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4">
        <v>45701</v>
      </c>
      <c r="G1120" s="4">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4">
        <v>45701</v>
      </c>
      <c r="G1121" s="4">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4">
        <v>45702</v>
      </c>
      <c r="G1122" s="4">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4">
        <v>45702</v>
      </c>
      <c r="G1123" s="4">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4">
        <v>45702</v>
      </c>
      <c r="G1124" s="4">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4">
        <v>45702</v>
      </c>
      <c r="G1125" s="4">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4">
        <v>45702</v>
      </c>
      <c r="G1126" s="4">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4">
        <v>45702</v>
      </c>
      <c r="G1127" s="4">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4">
        <v>45702</v>
      </c>
      <c r="G1128" s="4">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4">
        <v>45702</v>
      </c>
      <c r="G1129" s="4">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4">
        <v>45702</v>
      </c>
      <c r="G1130" s="4">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4">
        <v>45702</v>
      </c>
      <c r="G1131" s="4">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4">
        <v>45702</v>
      </c>
      <c r="G1132" s="4">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4">
        <v>45702</v>
      </c>
      <c r="G1133" s="4">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4">
        <v>45702</v>
      </c>
      <c r="G1134" s="4">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4">
        <v>45702</v>
      </c>
      <c r="G1135" s="4">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4">
        <v>45702</v>
      </c>
      <c r="G1136" s="4">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4">
        <v>45702</v>
      </c>
      <c r="G1137" s="4">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4">
        <v>45702</v>
      </c>
      <c r="G1138" s="4">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4">
        <v>45702</v>
      </c>
      <c r="G1139" s="4">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4">
        <v>45702</v>
      </c>
      <c r="G1140" s="4">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4">
        <v>45702</v>
      </c>
      <c r="G1141" s="4">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4">
        <v>45702</v>
      </c>
      <c r="G1142" s="4">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4">
        <v>45702</v>
      </c>
      <c r="G1143" s="4">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4">
        <v>45702</v>
      </c>
      <c r="G1144" s="4">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4">
        <v>45702</v>
      </c>
      <c r="G1145" s="4">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4">
        <v>45702</v>
      </c>
      <c r="G1146" s="4">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4">
        <v>45702</v>
      </c>
      <c r="G1147" s="4">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4">
        <v>45702</v>
      </c>
      <c r="G1148" s="4">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4">
        <v>45702</v>
      </c>
      <c r="G1149" s="4">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4">
        <v>45703</v>
      </c>
      <c r="G1150" s="4">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4">
        <v>45703</v>
      </c>
      <c r="G1151" s="4">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4">
        <v>45703</v>
      </c>
      <c r="G1152" s="4">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4">
        <v>45703</v>
      </c>
      <c r="G1153" s="4">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4">
        <v>45703</v>
      </c>
      <c r="G1154" s="4">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4">
        <v>45703</v>
      </c>
      <c r="G1155" s="4">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4">
        <v>45703</v>
      </c>
      <c r="G1156" s="4">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4">
        <v>45703</v>
      </c>
      <c r="G1157" s="4">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4">
        <v>45703</v>
      </c>
      <c r="G1158" s="4">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4">
        <v>45703</v>
      </c>
      <c r="G1159" s="4">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4">
        <v>45703</v>
      </c>
      <c r="G1160" s="4">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4">
        <v>45703</v>
      </c>
      <c r="G1161" s="4">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4">
        <v>45703</v>
      </c>
      <c r="G1162" s="4">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4">
        <v>45703</v>
      </c>
      <c r="G1163" s="4">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4">
        <v>45703</v>
      </c>
      <c r="G1164" s="4">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4">
        <v>45703</v>
      </c>
      <c r="G1165" s="4">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4">
        <v>45703</v>
      </c>
      <c r="G1166" s="4">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4">
        <v>45703</v>
      </c>
      <c r="G1167" s="4">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4">
        <v>45703</v>
      </c>
      <c r="G1168" s="4">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4">
        <v>45703</v>
      </c>
      <c r="G1169" s="4">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4">
        <v>45703</v>
      </c>
      <c r="G1170" s="4">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4">
        <v>45703</v>
      </c>
      <c r="G1171" s="4">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4">
        <v>45703</v>
      </c>
      <c r="G1172" s="4">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4">
        <v>45703</v>
      </c>
      <c r="G1173" s="4">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4">
        <v>45703</v>
      </c>
      <c r="G1174" s="4">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4">
        <v>45703</v>
      </c>
      <c r="G1175" s="4">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4">
        <v>45703</v>
      </c>
      <c r="G1176" s="4">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4">
        <v>45704</v>
      </c>
      <c r="G1177" s="4">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4">
        <v>45704</v>
      </c>
      <c r="G1178" s="4">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4">
        <v>45704</v>
      </c>
      <c r="G1179" s="4">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4">
        <v>45704</v>
      </c>
      <c r="G1180" s="4">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4">
        <v>45704</v>
      </c>
      <c r="G1181" s="4">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4">
        <v>45704</v>
      </c>
      <c r="G1182" s="4">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4">
        <v>45704</v>
      </c>
      <c r="G1183" s="4">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4">
        <v>45704</v>
      </c>
      <c r="G1184" s="4">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4">
        <v>45704</v>
      </c>
      <c r="G1185" s="4">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4">
        <v>45704</v>
      </c>
      <c r="G1186" s="4">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4">
        <v>45704</v>
      </c>
      <c r="G1187" s="4">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4">
        <v>45704</v>
      </c>
      <c r="G1188" s="4">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4">
        <v>45704</v>
      </c>
      <c r="G1189" s="4">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4">
        <v>45704</v>
      </c>
      <c r="G1190" s="4">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4">
        <v>45704</v>
      </c>
      <c r="G1191" s="4">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4">
        <v>45704</v>
      </c>
      <c r="G1192" s="4">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4">
        <v>45704</v>
      </c>
      <c r="G1193" s="4">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4">
        <v>45704</v>
      </c>
      <c r="G1194" s="4">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4">
        <v>45704</v>
      </c>
      <c r="G1195" s="4">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4">
        <v>45705</v>
      </c>
      <c r="G1196" s="4">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4">
        <v>45705</v>
      </c>
      <c r="G1197" s="4">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4">
        <v>45705</v>
      </c>
      <c r="G1198" s="4">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4">
        <v>45705</v>
      </c>
      <c r="G1199" s="4">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4">
        <v>45705</v>
      </c>
      <c r="G1200" s="4">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4">
        <v>45705</v>
      </c>
      <c r="G1201" s="4">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4">
        <v>45705</v>
      </c>
      <c r="G1202" s="4">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4">
        <v>45705</v>
      </c>
      <c r="G1203" s="4">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4">
        <v>45705</v>
      </c>
      <c r="G1204" s="4">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4">
        <v>45705</v>
      </c>
      <c r="G1205" s="4">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4">
        <v>45705</v>
      </c>
      <c r="G1206" s="4">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4">
        <v>45705</v>
      </c>
      <c r="G1207" s="4">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4">
        <v>45705</v>
      </c>
      <c r="G1208" s="4">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4">
        <v>45705</v>
      </c>
      <c r="G1209" s="4">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4">
        <v>45705</v>
      </c>
      <c r="G1210" s="4">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4">
        <v>45705</v>
      </c>
      <c r="G1211" s="4">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4">
        <v>45705</v>
      </c>
      <c r="G1212" s="4">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4">
        <v>45705</v>
      </c>
      <c r="G1213" s="4">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4">
        <v>45705</v>
      </c>
      <c r="G1214" s="4">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4">
        <v>45705</v>
      </c>
      <c r="G1215" s="4">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4">
        <v>45705</v>
      </c>
      <c r="G1216" s="4">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4">
        <v>45705</v>
      </c>
      <c r="G1217" s="4">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4">
        <v>45705</v>
      </c>
      <c r="G1218" s="4">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4">
        <v>45705</v>
      </c>
      <c r="G1219" s="4">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4">
        <v>45705</v>
      </c>
      <c r="G1220" s="4">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4">
        <v>45705</v>
      </c>
      <c r="G1221" s="4">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4">
        <v>45705</v>
      </c>
      <c r="G1222" s="4">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4">
        <v>45705</v>
      </c>
      <c r="G1223" s="4">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4">
        <v>45705</v>
      </c>
      <c r="G1224" s="4">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4">
        <v>45706</v>
      </c>
      <c r="G1225" s="4">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4">
        <v>45706</v>
      </c>
      <c r="G1226" s="4">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4">
        <v>45706</v>
      </c>
      <c r="G1227" s="4">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4">
        <v>45706</v>
      </c>
      <c r="G1228" s="4">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4">
        <v>45706</v>
      </c>
      <c r="G1229" s="4">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4">
        <v>45706</v>
      </c>
      <c r="G1230" s="4">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4">
        <v>45706</v>
      </c>
      <c r="G1231" s="4">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4">
        <v>45706</v>
      </c>
      <c r="G1232" s="4">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4">
        <v>45706</v>
      </c>
      <c r="G1233" s="4">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4">
        <v>45706</v>
      </c>
      <c r="G1234" s="4">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4">
        <v>45706</v>
      </c>
      <c r="G1235" s="4">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4">
        <v>45706</v>
      </c>
      <c r="G1236" s="4">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4">
        <v>45706</v>
      </c>
      <c r="G1237" s="4">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4">
        <v>45706</v>
      </c>
      <c r="G1238" s="4">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4">
        <v>45706</v>
      </c>
      <c r="G1239" s="4">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4">
        <v>45706</v>
      </c>
      <c r="G1240" s="4">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4">
        <v>45706</v>
      </c>
      <c r="G1241" s="4">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4">
        <v>45706</v>
      </c>
      <c r="G1242" s="4">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4">
        <v>45706</v>
      </c>
      <c r="G1243" s="4">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4">
        <v>45706</v>
      </c>
      <c r="G1244" s="4">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4">
        <v>45706</v>
      </c>
      <c r="G1245" s="4">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4">
        <v>45706</v>
      </c>
      <c r="G1246" s="4">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4">
        <v>45706</v>
      </c>
      <c r="G1247" s="4">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4">
        <v>45706</v>
      </c>
      <c r="G1248" s="4">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4">
        <v>45706</v>
      </c>
      <c r="G1249" s="4">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4">
        <v>45706</v>
      </c>
      <c r="G1250" s="4">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4">
        <v>45706</v>
      </c>
      <c r="G1251" s="4">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4">
        <v>45706</v>
      </c>
      <c r="G1252" s="4">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4">
        <v>45706</v>
      </c>
      <c r="G1253" s="4">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4">
        <v>45706</v>
      </c>
      <c r="G1254" s="4">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4">
        <v>45706</v>
      </c>
      <c r="G1255" s="4">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4">
        <v>45706</v>
      </c>
      <c r="G1256" s="4">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4">
        <v>45706</v>
      </c>
      <c r="G1257" s="4">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4">
        <v>45706</v>
      </c>
      <c r="G1258" s="4">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4">
        <v>45706</v>
      </c>
      <c r="G1259" s="4">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4">
        <v>45706</v>
      </c>
      <c r="G1260" s="4">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4">
        <v>45706</v>
      </c>
      <c r="G1261" s="4">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4">
        <v>45706</v>
      </c>
      <c r="G1262" s="4">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4">
        <v>45706</v>
      </c>
      <c r="G1263" s="4">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4">
        <v>45706</v>
      </c>
      <c r="G1264" s="4">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4">
        <v>45706</v>
      </c>
      <c r="G1265" s="4">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4">
        <v>45706</v>
      </c>
      <c r="G1266" s="4">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4">
        <v>45706</v>
      </c>
      <c r="G1267" s="4">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4">
        <v>45706</v>
      </c>
      <c r="G1268" s="4">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4">
        <v>45706</v>
      </c>
      <c r="G1269" s="4">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4">
        <v>45706</v>
      </c>
      <c r="G1270" s="4">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4">
        <v>45706</v>
      </c>
      <c r="G1271" s="4">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4">
        <v>45706</v>
      </c>
      <c r="G1272" s="4">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4">
        <v>45706</v>
      </c>
      <c r="G1273" s="4">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4">
        <v>45706</v>
      </c>
      <c r="G1274" s="4">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4">
        <v>45706</v>
      </c>
      <c r="G1275" s="4">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4">
        <v>45706</v>
      </c>
      <c r="G1276" s="4">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4">
        <v>45706</v>
      </c>
      <c r="G1277" s="4">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4">
        <v>45706</v>
      </c>
      <c r="G1278" s="4">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4">
        <v>45706</v>
      </c>
      <c r="G1279" s="4">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4">
        <v>45706</v>
      </c>
      <c r="G1280" s="4">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4">
        <v>45706</v>
      </c>
      <c r="G1281" s="4">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4">
        <v>45706</v>
      </c>
      <c r="G1282" s="4">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4">
        <v>45706</v>
      </c>
      <c r="G1283" s="4">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4">
        <v>45706</v>
      </c>
      <c r="G1284" s="4">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4">
        <v>45706</v>
      </c>
      <c r="G1285" s="4">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4">
        <v>45706</v>
      </c>
      <c r="G1286" s="4">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4">
        <v>45706</v>
      </c>
      <c r="G1287" s="4">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4">
        <v>45707</v>
      </c>
      <c r="G1288" s="4">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4">
        <v>45707</v>
      </c>
      <c r="G1289" s="4">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4">
        <v>45707</v>
      </c>
      <c r="G1290" s="4">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4">
        <v>45707</v>
      </c>
      <c r="G1291" s="4">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4">
        <v>45707</v>
      </c>
      <c r="G1292" s="4">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4">
        <v>45707</v>
      </c>
      <c r="G1293" s="4">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4">
        <v>45707</v>
      </c>
      <c r="G1294" s="4">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4">
        <v>45707</v>
      </c>
      <c r="G1295" s="4">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4">
        <v>45707</v>
      </c>
      <c r="G1296" s="4">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4">
        <v>45707</v>
      </c>
      <c r="G1297" s="4">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4">
        <v>45707</v>
      </c>
      <c r="G1298" s="4">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4">
        <v>45707</v>
      </c>
      <c r="G1299" s="4">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4">
        <v>45707</v>
      </c>
      <c r="G1300" s="4">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4">
        <v>45707</v>
      </c>
      <c r="G1301" s="4">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4">
        <v>45707</v>
      </c>
      <c r="G1302" s="4">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4">
        <v>45707</v>
      </c>
      <c r="G1303" s="4">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4">
        <v>45707</v>
      </c>
      <c r="G1304" s="4">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4">
        <v>45707</v>
      </c>
      <c r="G1305" s="4">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4">
        <v>45707</v>
      </c>
      <c r="G1306" s="4">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4">
        <v>45707</v>
      </c>
      <c r="G1307" s="4">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4">
        <v>45707</v>
      </c>
      <c r="G1308" s="4">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4">
        <v>45707</v>
      </c>
      <c r="G1309" s="4">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4">
        <v>45707</v>
      </c>
      <c r="G1310" s="4">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4">
        <v>45707</v>
      </c>
      <c r="G1311" s="4">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4">
        <v>45707</v>
      </c>
      <c r="G1312" s="4">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4">
        <v>45707</v>
      </c>
      <c r="G1313" s="4">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4">
        <v>45707</v>
      </c>
      <c r="G1314" s="4">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4">
        <v>45707</v>
      </c>
      <c r="G1315" s="4">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4">
        <v>45707</v>
      </c>
      <c r="G1316" s="4">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4">
        <v>45707</v>
      </c>
      <c r="G1317" s="4">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4">
        <v>45707</v>
      </c>
      <c r="G1318" s="4">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4">
        <v>45708</v>
      </c>
      <c r="G1319" s="4">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4">
        <v>45708</v>
      </c>
      <c r="G1320" s="4">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4">
        <v>45708</v>
      </c>
      <c r="G1321" s="4">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4">
        <v>45708</v>
      </c>
      <c r="G1322" s="4">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4">
        <v>45708</v>
      </c>
      <c r="G1323" s="4">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4">
        <v>45708</v>
      </c>
      <c r="G1324" s="4">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4">
        <v>45708</v>
      </c>
      <c r="G1325" s="4">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4">
        <v>45708</v>
      </c>
      <c r="G1326" s="4">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4">
        <v>45708</v>
      </c>
      <c r="G1327" s="4">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4">
        <v>45708</v>
      </c>
      <c r="G1328" s="4">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4">
        <v>45708</v>
      </c>
      <c r="G1329" s="4">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4">
        <v>45708</v>
      </c>
      <c r="G1330" s="4">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4">
        <v>45708</v>
      </c>
      <c r="G1331" s="4">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4">
        <v>45708</v>
      </c>
      <c r="G1332" s="4">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4">
        <v>45708</v>
      </c>
      <c r="G1333" s="4">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4">
        <v>45708</v>
      </c>
      <c r="G1334" s="4">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4">
        <v>45708</v>
      </c>
      <c r="G1335" s="4">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4">
        <v>45708</v>
      </c>
      <c r="G1336" s="4">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4">
        <v>45708</v>
      </c>
      <c r="G1337" s="4">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4">
        <v>45708</v>
      </c>
      <c r="G1338" s="4">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4">
        <v>45708</v>
      </c>
      <c r="G1339" s="4">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4">
        <v>45708</v>
      </c>
      <c r="G1340" s="4">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4">
        <v>45708</v>
      </c>
      <c r="G1341" s="4">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4">
        <v>45708</v>
      </c>
      <c r="G1342" s="4">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4">
        <v>45708</v>
      </c>
      <c r="G1343" s="4">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4">
        <v>45708</v>
      </c>
      <c r="G1344" s="4">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4">
        <v>45708</v>
      </c>
      <c r="G1345" s="4">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4">
        <v>45708</v>
      </c>
      <c r="G1346" s="4">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4">
        <v>45708</v>
      </c>
      <c r="G1347" s="4">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4">
        <v>45708</v>
      </c>
      <c r="G1348" s="4">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4">
        <v>45708</v>
      </c>
      <c r="G1349" s="4">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4">
        <v>45708</v>
      </c>
      <c r="G1350" s="4">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4">
        <v>45709</v>
      </c>
      <c r="G1351" s="4">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4">
        <v>45709</v>
      </c>
      <c r="G1352" s="4">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4">
        <v>45709</v>
      </c>
      <c r="G1353" s="4">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4">
        <v>45709</v>
      </c>
      <c r="G1354" s="4">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4">
        <v>45709</v>
      </c>
      <c r="G1355" s="4">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4">
        <v>45709</v>
      </c>
      <c r="G1356" s="4">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4">
        <v>45709</v>
      </c>
      <c r="G1357" s="4">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4">
        <v>45709</v>
      </c>
      <c r="G1358" s="4">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4">
        <v>45709</v>
      </c>
      <c r="G1359" s="4">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4">
        <v>45709</v>
      </c>
      <c r="G1360" s="4">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4">
        <v>45709</v>
      </c>
      <c r="G1361" s="4">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4">
        <v>45709</v>
      </c>
      <c r="G1362" s="4">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4">
        <v>45709</v>
      </c>
      <c r="G1363" s="4">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4">
        <v>45709</v>
      </c>
      <c r="G1364" s="4">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4">
        <v>45709</v>
      </c>
      <c r="G1365" s="4">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4">
        <v>45709</v>
      </c>
      <c r="G1366" s="4">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4">
        <v>45709</v>
      </c>
      <c r="G1367" s="4">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4">
        <v>45709</v>
      </c>
      <c r="G1368" s="4">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4">
        <v>45709</v>
      </c>
      <c r="G1369" s="4">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4">
        <v>45709</v>
      </c>
      <c r="G1370" s="4">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4">
        <v>45709</v>
      </c>
      <c r="G1371" s="4">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4">
        <v>45709</v>
      </c>
      <c r="G1372" s="4">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4">
        <v>45709</v>
      </c>
      <c r="G1373" s="4">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4">
        <v>45709</v>
      </c>
      <c r="G1374" s="4">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4">
        <v>45709</v>
      </c>
      <c r="G1375" s="4">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4">
        <v>45709</v>
      </c>
      <c r="G1376" s="4">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4">
        <v>45709</v>
      </c>
      <c r="G1377" s="4">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4">
        <v>45709</v>
      </c>
      <c r="G1378" s="4">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4">
        <v>45709</v>
      </c>
      <c r="G1379" s="4">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4">
        <v>45709</v>
      </c>
      <c r="G1380" s="4">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4">
        <v>45709</v>
      </c>
      <c r="G1381" s="4">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4">
        <v>45709</v>
      </c>
      <c r="G1382" s="4">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4">
        <v>45709</v>
      </c>
      <c r="G1383" s="4">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4">
        <v>45709</v>
      </c>
      <c r="G1384" s="4">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4">
        <v>45709</v>
      </c>
      <c r="G1385" s="4">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4">
        <v>45709</v>
      </c>
      <c r="G1386" s="4">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4">
        <v>45709</v>
      </c>
      <c r="G1387" s="4">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4">
        <v>45709</v>
      </c>
      <c r="G1388" s="4">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4">
        <v>45710</v>
      </c>
      <c r="G1389" s="4">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4">
        <v>45710</v>
      </c>
      <c r="G1390" s="4">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4">
        <v>45710</v>
      </c>
      <c r="G1391" s="4">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4">
        <v>45710</v>
      </c>
      <c r="G1392" s="4">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4">
        <v>45710</v>
      </c>
      <c r="G1393" s="4">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4">
        <v>45710</v>
      </c>
      <c r="G1394" s="4">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4">
        <v>45710</v>
      </c>
      <c r="G1395" s="4">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4">
        <v>45710</v>
      </c>
      <c r="G1396" s="4">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4">
        <v>45710</v>
      </c>
      <c r="G1397" s="4">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4">
        <v>45710</v>
      </c>
      <c r="G1398" s="4">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4">
        <v>45710</v>
      </c>
      <c r="G1399" s="4">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4">
        <v>45710</v>
      </c>
      <c r="G1400" s="4">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4">
        <v>45710</v>
      </c>
      <c r="G1401" s="4">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4">
        <v>45710</v>
      </c>
      <c r="G1402" s="4">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4">
        <v>45710</v>
      </c>
      <c r="G1403" s="4">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4">
        <v>45710</v>
      </c>
      <c r="G1404" s="4">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4">
        <v>45710</v>
      </c>
      <c r="G1405" s="4">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4">
        <v>45710</v>
      </c>
      <c r="G1406" s="4">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4">
        <v>45710</v>
      </c>
      <c r="G1407" s="4">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4">
        <v>45710</v>
      </c>
      <c r="G1408" s="4">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4">
        <v>45710</v>
      </c>
      <c r="G1409" s="4">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4">
        <v>45710</v>
      </c>
      <c r="G1410" s="4">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4">
        <v>45710</v>
      </c>
      <c r="G1411" s="4">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4">
        <v>45710</v>
      </c>
      <c r="G1412" s="4">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4">
        <v>45711</v>
      </c>
      <c r="G1413" s="4">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4">
        <v>45711</v>
      </c>
      <c r="G1414" s="4">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4">
        <v>45711</v>
      </c>
      <c r="G1415" s="4">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4">
        <v>45711</v>
      </c>
      <c r="G1416" s="4">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4">
        <v>45711</v>
      </c>
      <c r="G1417" s="4">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4">
        <v>45711</v>
      </c>
      <c r="G1418" s="4">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4">
        <v>45711</v>
      </c>
      <c r="G1419" s="4">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4">
        <v>45711</v>
      </c>
      <c r="G1420" s="4">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4">
        <v>45711</v>
      </c>
      <c r="G1421" s="4">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4">
        <v>45711</v>
      </c>
      <c r="G1422" s="4">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4">
        <v>45711</v>
      </c>
      <c r="G1423" s="4">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4">
        <v>45711</v>
      </c>
      <c r="G1424" s="4">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4">
        <v>45711</v>
      </c>
      <c r="G1425" s="4">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4">
        <v>45711</v>
      </c>
      <c r="G1426" s="4">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4">
        <v>45711</v>
      </c>
      <c r="G1427" s="4">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4">
        <v>45711</v>
      </c>
      <c r="G1428" s="4">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4">
        <v>45711</v>
      </c>
      <c r="G1429" s="4">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4">
        <v>45711</v>
      </c>
      <c r="G1430" s="4">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4">
        <v>45711</v>
      </c>
      <c r="G1431" s="4">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4">
        <v>45711</v>
      </c>
      <c r="G1432" s="4">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4">
        <v>45711</v>
      </c>
      <c r="G1433" s="4">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4">
        <v>45711</v>
      </c>
      <c r="G1434" s="4">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4">
        <v>45711</v>
      </c>
      <c r="G1435" s="4">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4">
        <v>45711</v>
      </c>
      <c r="G1436" s="4">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4">
        <v>45711</v>
      </c>
      <c r="G1437" s="4">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4">
        <v>45711</v>
      </c>
      <c r="G1438" s="4">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4">
        <v>45711</v>
      </c>
      <c r="G1439" s="4">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4">
        <v>45711</v>
      </c>
      <c r="G1440" s="4">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4">
        <v>45711</v>
      </c>
      <c r="G1441" s="4">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4">
        <v>45711</v>
      </c>
      <c r="G1442" s="4">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4">
        <v>45711</v>
      </c>
      <c r="G1443" s="4">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4">
        <v>45711</v>
      </c>
      <c r="G1444" s="4">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4">
        <v>45711</v>
      </c>
      <c r="G1445" s="4">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4">
        <v>45711</v>
      </c>
      <c r="G1446" s="4">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4">
        <v>45711</v>
      </c>
      <c r="G1447" s="4">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4">
        <v>45711</v>
      </c>
      <c r="G1448" s="4">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4">
        <v>45711</v>
      </c>
      <c r="G1449" s="4">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4">
        <v>45712</v>
      </c>
      <c r="G1450" s="4">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4">
        <v>45712</v>
      </c>
      <c r="G1451" s="4">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4">
        <v>45712</v>
      </c>
      <c r="G1452" s="4">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4">
        <v>45712</v>
      </c>
      <c r="G1453" s="4">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4">
        <v>45712</v>
      </c>
      <c r="G1454" s="4">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4">
        <v>45712</v>
      </c>
      <c r="G1455" s="4">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4">
        <v>45712</v>
      </c>
      <c r="G1456" s="4">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4">
        <v>45712</v>
      </c>
      <c r="G1457" s="4">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4">
        <v>45712</v>
      </c>
      <c r="G1458" s="4">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4">
        <v>45712</v>
      </c>
      <c r="G1459" s="4">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4">
        <v>45712</v>
      </c>
      <c r="G1460" s="4">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4">
        <v>45712</v>
      </c>
      <c r="G1461" s="4">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4">
        <v>45712</v>
      </c>
      <c r="G1462" s="4">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4">
        <v>45712</v>
      </c>
      <c r="G1463" s="4">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4">
        <v>45712</v>
      </c>
      <c r="G1464" s="4">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4">
        <v>45712</v>
      </c>
      <c r="G1465" s="4">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4">
        <v>45712</v>
      </c>
      <c r="G1466" s="4">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4">
        <v>45712</v>
      </c>
      <c r="G1467" s="4">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4">
        <v>45712</v>
      </c>
      <c r="G1468" s="4">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4">
        <v>45712</v>
      </c>
      <c r="G1469" s="4">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4">
        <v>45712</v>
      </c>
      <c r="G1470" s="4">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4">
        <v>45712</v>
      </c>
      <c r="G1471" s="4">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4">
        <v>45712</v>
      </c>
      <c r="G1472" s="4">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4">
        <v>45712</v>
      </c>
      <c r="G1473" s="4">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4">
        <v>45712</v>
      </c>
      <c r="G1474" s="4">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4">
        <v>45712</v>
      </c>
      <c r="G1475" s="4">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4">
        <v>45712</v>
      </c>
      <c r="G1476" s="4">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4">
        <v>45712</v>
      </c>
      <c r="G1477" s="4">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4">
        <v>45712</v>
      </c>
      <c r="G1478" s="4">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4">
        <v>45713</v>
      </c>
      <c r="G1479" s="4">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4">
        <v>45713</v>
      </c>
      <c r="G1480" s="4">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4">
        <v>45713</v>
      </c>
      <c r="G1481" s="4">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4">
        <v>45713</v>
      </c>
      <c r="G1482" s="4">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4">
        <v>45713</v>
      </c>
      <c r="G1483" s="4">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4">
        <v>45713</v>
      </c>
      <c r="G1484" s="4">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4">
        <v>45713</v>
      </c>
      <c r="G1485" s="4">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4">
        <v>45713</v>
      </c>
      <c r="G1486" s="4">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4">
        <v>45713</v>
      </c>
      <c r="G1487" s="4">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4">
        <v>45713</v>
      </c>
      <c r="G1488" s="4">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4">
        <v>45713</v>
      </c>
      <c r="G1489" s="4">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4">
        <v>45713</v>
      </c>
      <c r="G1490" s="4">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4">
        <v>45713</v>
      </c>
      <c r="G1491" s="4">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4">
        <v>45713</v>
      </c>
      <c r="G1492" s="4">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4">
        <v>45713</v>
      </c>
      <c r="G1493" s="4">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4">
        <v>45713</v>
      </c>
      <c r="G1494" s="4">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4">
        <v>45713</v>
      </c>
      <c r="G1495" s="4">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4">
        <v>45713</v>
      </c>
      <c r="G1496" s="4">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4">
        <v>45713</v>
      </c>
      <c r="G1497" s="4">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4">
        <v>45713</v>
      </c>
      <c r="G1498" s="4">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4">
        <v>45713</v>
      </c>
      <c r="G1499" s="4">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4">
        <v>45713</v>
      </c>
      <c r="G1500" s="4">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4">
        <v>45713</v>
      </c>
      <c r="G1501" s="4">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4">
        <v>45713</v>
      </c>
      <c r="G1502" s="4">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4">
        <v>45713</v>
      </c>
      <c r="G1503" s="4">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4">
        <v>45713</v>
      </c>
      <c r="G1504" s="4">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4">
        <v>45713</v>
      </c>
      <c r="G1505" s="4">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4">
        <v>45713</v>
      </c>
      <c r="G1506" s="4">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4">
        <v>45713</v>
      </c>
      <c r="G1507" s="4">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4">
        <v>45713</v>
      </c>
      <c r="G1508" s="4">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4">
        <v>45713</v>
      </c>
      <c r="G1509" s="4">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4">
        <v>45713</v>
      </c>
      <c r="G1510" s="4">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4">
        <v>45713</v>
      </c>
      <c r="G1511" s="4">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4">
        <v>45713</v>
      </c>
      <c r="G1512" s="4">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4">
        <v>45713</v>
      </c>
      <c r="G1513" s="4">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4">
        <v>45714</v>
      </c>
      <c r="G1514" s="4">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4">
        <v>45714</v>
      </c>
      <c r="G1515" s="4">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4">
        <v>45714</v>
      </c>
      <c r="G1516" s="4">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4">
        <v>45714</v>
      </c>
      <c r="G1517" s="4">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4">
        <v>45714</v>
      </c>
      <c r="G1518" s="4">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4">
        <v>45714</v>
      </c>
      <c r="G1519" s="4">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4">
        <v>45714</v>
      </c>
      <c r="G1520" s="4">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4">
        <v>45714</v>
      </c>
      <c r="G1521" s="4">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4">
        <v>45714</v>
      </c>
      <c r="G1522" s="4">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4">
        <v>45714</v>
      </c>
      <c r="G1523" s="4">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4">
        <v>45714</v>
      </c>
      <c r="G1524" s="4">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4">
        <v>45714</v>
      </c>
      <c r="G1525" s="4">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4">
        <v>45714</v>
      </c>
      <c r="G1526" s="4">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4">
        <v>45714</v>
      </c>
      <c r="G1527" s="4">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4">
        <v>45714</v>
      </c>
      <c r="G1528" s="4">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4">
        <v>45714</v>
      </c>
      <c r="G1529" s="4">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4">
        <v>45714</v>
      </c>
      <c r="G1530" s="4">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4">
        <v>45714</v>
      </c>
      <c r="G1531" s="4">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4">
        <v>45714</v>
      </c>
      <c r="G1532" s="4">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4">
        <v>45714</v>
      </c>
      <c r="G1533" s="4">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4">
        <v>45714</v>
      </c>
      <c r="G1534" s="4">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4">
        <v>45714</v>
      </c>
      <c r="G1535" s="4">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4">
        <v>45714</v>
      </c>
      <c r="G1536" s="4">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4">
        <v>45714</v>
      </c>
      <c r="G1537" s="4">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4">
        <v>45714</v>
      </c>
      <c r="G1538" s="4">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4">
        <v>45714</v>
      </c>
      <c r="G1539" s="4">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4">
        <v>45714</v>
      </c>
      <c r="G1540" s="4">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4">
        <v>45714</v>
      </c>
      <c r="G1541" s="4">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4">
        <v>45715</v>
      </c>
      <c r="G1542" s="4">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4">
        <v>45715</v>
      </c>
      <c r="G1543" s="4">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4">
        <v>45715</v>
      </c>
      <c r="G1544" s="4">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4">
        <v>45715</v>
      </c>
      <c r="G1545" s="4">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4">
        <v>45715</v>
      </c>
      <c r="G1546" s="4">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4">
        <v>45715</v>
      </c>
      <c r="G1547" s="4">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4">
        <v>45715</v>
      </c>
      <c r="G1548" s="4">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4">
        <v>45715</v>
      </c>
      <c r="G1549" s="4">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4">
        <v>45715</v>
      </c>
      <c r="G1550" s="4">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4">
        <v>45715</v>
      </c>
      <c r="G1551" s="4">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4">
        <v>45715</v>
      </c>
      <c r="G1552" s="4">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4">
        <v>45715</v>
      </c>
      <c r="G1553" s="4">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4">
        <v>45715</v>
      </c>
      <c r="G1554" s="4">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4">
        <v>45715</v>
      </c>
      <c r="G1555" s="4">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4">
        <v>45715</v>
      </c>
      <c r="G1556" s="4">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4">
        <v>45715</v>
      </c>
      <c r="G1557" s="4">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4">
        <v>45715</v>
      </c>
      <c r="G1558" s="4">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4">
        <v>45715</v>
      </c>
      <c r="G1559" s="4">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4">
        <v>45715</v>
      </c>
      <c r="G1560" s="4">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4">
        <v>45715</v>
      </c>
      <c r="G1561" s="4">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4">
        <v>45715</v>
      </c>
      <c r="G1562" s="4">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4">
        <v>45715</v>
      </c>
      <c r="G1563" s="4">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4">
        <v>45716</v>
      </c>
      <c r="G1564" s="4">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4">
        <v>45716</v>
      </c>
      <c r="G1565" s="4">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4">
        <v>45716</v>
      </c>
      <c r="G1566" s="4">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4">
        <v>45716</v>
      </c>
      <c r="G1567" s="4">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4">
        <v>45716</v>
      </c>
      <c r="G1568" s="4">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4">
        <v>45716</v>
      </c>
      <c r="G1569" s="4">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4">
        <v>45716</v>
      </c>
      <c r="G1570" s="4">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4">
        <v>45716</v>
      </c>
      <c r="G1571" s="4">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4">
        <v>45716</v>
      </c>
      <c r="G1572" s="4">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4">
        <v>45716</v>
      </c>
      <c r="G1573" s="4">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4">
        <v>45716</v>
      </c>
      <c r="G1574" s="4">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4">
        <v>45716</v>
      </c>
      <c r="G1575" s="4">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4">
        <v>45716</v>
      </c>
      <c r="G1576" s="4">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4">
        <v>45716</v>
      </c>
      <c r="G1577" s="4">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4">
        <v>45716</v>
      </c>
      <c r="G1578" s="4">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4">
        <v>45716</v>
      </c>
      <c r="G1579" s="4">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4">
        <v>45716</v>
      </c>
      <c r="G1580" s="4">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4">
        <v>45716</v>
      </c>
      <c r="G1581" s="4">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4">
        <v>45716</v>
      </c>
      <c r="G1582" s="4">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4">
        <v>45716</v>
      </c>
      <c r="G1583" s="4">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4">
        <v>45716</v>
      </c>
      <c r="G1584" s="4">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4">
        <v>45716</v>
      </c>
      <c r="G1585" s="4">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4">
        <v>45716</v>
      </c>
      <c r="G1586" s="4">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4">
        <v>45716</v>
      </c>
      <c r="G1587" s="4">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4">
        <v>45716</v>
      </c>
      <c r="G1588" s="4">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4">
        <v>45716</v>
      </c>
      <c r="G1589" s="4">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4">
        <v>45716</v>
      </c>
      <c r="G1590" s="4">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4">
        <v>45716</v>
      </c>
      <c r="G1591" s="4">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4">
        <v>45716</v>
      </c>
      <c r="G1592" s="4">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4">
        <v>45717</v>
      </c>
      <c r="G1593" s="4">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4">
        <v>45717</v>
      </c>
      <c r="G1594" s="4">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4">
        <v>45717</v>
      </c>
      <c r="G1595" s="4">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4">
        <v>45717</v>
      </c>
      <c r="G1596" s="4">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4">
        <v>45717</v>
      </c>
      <c r="G1597" s="4">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4">
        <v>45717</v>
      </c>
      <c r="G1598" s="4">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4">
        <v>45717</v>
      </c>
      <c r="G1599" s="4">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4">
        <v>45717</v>
      </c>
      <c r="G1600" s="4">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4">
        <v>45717</v>
      </c>
      <c r="G1601" s="4">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4">
        <v>45717</v>
      </c>
      <c r="G1602" s="4">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4">
        <v>45717</v>
      </c>
      <c r="G1603" s="4">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4">
        <v>45717</v>
      </c>
      <c r="G1604" s="4">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4">
        <v>45717</v>
      </c>
      <c r="G1605" s="4">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4">
        <v>45717</v>
      </c>
      <c r="G1606" s="4">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4">
        <v>45717</v>
      </c>
      <c r="G1607" s="4">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4">
        <v>45717</v>
      </c>
      <c r="G1608" s="4">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4">
        <v>45717</v>
      </c>
      <c r="G1609" s="4">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4">
        <v>45717</v>
      </c>
      <c r="G1610" s="4">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4">
        <v>45717</v>
      </c>
      <c r="G1611" s="4">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4">
        <v>45717</v>
      </c>
      <c r="G1612" s="4">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4">
        <v>45717</v>
      </c>
      <c r="G1613" s="4">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4">
        <v>45717</v>
      </c>
      <c r="G1614" s="4">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4">
        <v>45718</v>
      </c>
      <c r="G1615" s="4">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4">
        <v>45718</v>
      </c>
      <c r="G1616" s="4">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4">
        <v>45718</v>
      </c>
      <c r="G1617" s="4">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4">
        <v>45718</v>
      </c>
      <c r="G1618" s="4">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4">
        <v>45718</v>
      </c>
      <c r="G1619" s="4">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4">
        <v>45718</v>
      </c>
      <c r="G1620" s="4">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4">
        <v>45718</v>
      </c>
      <c r="G1621" s="4">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4">
        <v>45718</v>
      </c>
      <c r="G1622" s="4">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4">
        <v>45718</v>
      </c>
      <c r="G1623" s="4">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4">
        <v>45718</v>
      </c>
      <c r="G1624" s="4">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4">
        <v>45718</v>
      </c>
      <c r="G1625" s="4">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4">
        <v>45718</v>
      </c>
      <c r="G1626" s="4">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4">
        <v>45718</v>
      </c>
      <c r="G1627" s="4">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4">
        <v>45718</v>
      </c>
      <c r="G1628" s="4">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4">
        <v>45718</v>
      </c>
      <c r="G1629" s="4">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4">
        <v>45718</v>
      </c>
      <c r="G1630" s="4">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4">
        <v>45718</v>
      </c>
      <c r="G1631" s="4">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4">
        <v>45718</v>
      </c>
      <c r="G1632" s="4">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4">
        <v>45718</v>
      </c>
      <c r="G1633" s="4">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4">
        <v>45718</v>
      </c>
      <c r="G1634" s="4">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4">
        <v>45718</v>
      </c>
      <c r="G1635" s="4">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4">
        <v>45718</v>
      </c>
      <c r="G1636" s="4">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4">
        <v>45718</v>
      </c>
      <c r="G1637" s="4">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4">
        <v>45718</v>
      </c>
      <c r="G1638" s="4">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4">
        <v>45718</v>
      </c>
      <c r="G1639" s="4">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4">
        <v>45718</v>
      </c>
      <c r="G1640" s="4">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4">
        <v>45718</v>
      </c>
      <c r="G1641" s="4">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4">
        <v>45718</v>
      </c>
      <c r="G1642" s="4">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4">
        <v>45719</v>
      </c>
      <c r="G1643" s="4">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4">
        <v>45719</v>
      </c>
      <c r="G1644" s="4">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4">
        <v>45719</v>
      </c>
      <c r="G1645" s="4">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4">
        <v>45719</v>
      </c>
      <c r="G1646" s="4">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4">
        <v>45719</v>
      </c>
      <c r="G1647" s="4">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4">
        <v>45719</v>
      </c>
      <c r="G1648" s="4">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4">
        <v>45719</v>
      </c>
      <c r="G1649" s="4">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4">
        <v>45719</v>
      </c>
      <c r="G1650" s="4">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4">
        <v>45719</v>
      </c>
      <c r="G1651" s="4">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4">
        <v>45719</v>
      </c>
      <c r="G1652" s="4">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4">
        <v>45719</v>
      </c>
      <c r="G1653" s="4">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4">
        <v>45719</v>
      </c>
      <c r="G1654" s="4">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4">
        <v>45719</v>
      </c>
      <c r="G1655" s="4">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4">
        <v>45719</v>
      </c>
      <c r="G1656" s="4">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4">
        <v>45719</v>
      </c>
      <c r="G1657" s="4">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4">
        <v>45719</v>
      </c>
      <c r="G1658" s="4">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4">
        <v>45719</v>
      </c>
      <c r="G1659" s="4">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4">
        <v>45719</v>
      </c>
      <c r="G1660" s="4">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4">
        <v>45719</v>
      </c>
      <c r="G1661" s="4">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4">
        <v>45719</v>
      </c>
      <c r="G1662" s="4">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4">
        <v>45719</v>
      </c>
      <c r="G1663" s="4">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4">
        <v>45719</v>
      </c>
      <c r="G1664" s="4">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4">
        <v>45719</v>
      </c>
      <c r="G1665" s="4">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4">
        <v>45719</v>
      </c>
      <c r="G1666" s="4">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4">
        <v>45719</v>
      </c>
      <c r="G1667" s="4">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4">
        <v>45719</v>
      </c>
      <c r="G1668" s="4">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4">
        <v>45719</v>
      </c>
      <c r="G1669" s="4">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4">
        <v>45719</v>
      </c>
      <c r="G1670" s="4">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4">
        <v>45719</v>
      </c>
      <c r="G1671" s="4">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4">
        <v>45719</v>
      </c>
      <c r="G1672" s="4">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4">
        <v>45719</v>
      </c>
      <c r="G1673" s="4">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4">
        <v>45719</v>
      </c>
      <c r="G1674" s="4">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4">
        <v>45720</v>
      </c>
      <c r="G1675" s="4">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4">
        <v>45720</v>
      </c>
      <c r="G1676" s="4">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4">
        <v>45720</v>
      </c>
      <c r="G1677" s="4">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4">
        <v>45720</v>
      </c>
      <c r="G1678" s="4">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4">
        <v>45720</v>
      </c>
      <c r="G1679" s="4">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4">
        <v>45720</v>
      </c>
      <c r="G1680" s="4">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4">
        <v>45720</v>
      </c>
      <c r="G1681" s="4">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4">
        <v>45720</v>
      </c>
      <c r="G1682" s="4">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4">
        <v>45720</v>
      </c>
      <c r="G1683" s="4">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4">
        <v>45720</v>
      </c>
      <c r="G1684" s="4">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4">
        <v>45720</v>
      </c>
      <c r="G1685" s="4">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4">
        <v>45720</v>
      </c>
      <c r="G1686" s="4">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4">
        <v>45720</v>
      </c>
      <c r="G1687" s="4">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4">
        <v>45720</v>
      </c>
      <c r="G1688" s="4">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4">
        <v>45720</v>
      </c>
      <c r="G1689" s="4">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4">
        <v>45720</v>
      </c>
      <c r="G1690" s="4">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4">
        <v>45720</v>
      </c>
      <c r="G1691" s="4">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4">
        <v>45720</v>
      </c>
      <c r="G1692" s="4">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4">
        <v>45720</v>
      </c>
      <c r="G1693" s="4">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4">
        <v>45720</v>
      </c>
      <c r="G1694" s="4">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4">
        <v>45720</v>
      </c>
      <c r="G1695" s="4">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4">
        <v>45720</v>
      </c>
      <c r="G1696" s="4">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4">
        <v>45720</v>
      </c>
      <c r="G1697" s="4">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4">
        <v>45720</v>
      </c>
      <c r="G1698" s="4">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4">
        <v>45720</v>
      </c>
      <c r="G1699" s="4">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4">
        <v>45720</v>
      </c>
      <c r="G1700" s="4">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4">
        <v>45720</v>
      </c>
      <c r="G1701" s="4">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4">
        <v>45720</v>
      </c>
      <c r="G1702" s="4">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4">
        <v>45720</v>
      </c>
      <c r="G1703" s="4">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4">
        <v>45720</v>
      </c>
      <c r="G1704" s="4">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4">
        <v>45720</v>
      </c>
      <c r="G1705" s="4">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4">
        <v>45720</v>
      </c>
      <c r="G1706" s="4">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4">
        <v>45720</v>
      </c>
      <c r="G1707" s="4">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4">
        <v>45720</v>
      </c>
      <c r="G1708" s="4">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4">
        <v>45720</v>
      </c>
      <c r="G1709" s="4">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4">
        <v>45720</v>
      </c>
      <c r="G1710" s="4">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4">
        <v>45720</v>
      </c>
      <c r="G1711" s="4">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4">
        <v>45720</v>
      </c>
      <c r="G1712" s="4">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4">
        <v>45720</v>
      </c>
      <c r="G1713" s="4">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4">
        <v>45720</v>
      </c>
      <c r="G1714" s="4">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4">
        <v>45720</v>
      </c>
      <c r="G1715" s="4">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4">
        <v>45720</v>
      </c>
      <c r="G1716" s="4">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4">
        <v>45720</v>
      </c>
      <c r="G1717" s="4">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4">
        <v>45720</v>
      </c>
      <c r="G1718" s="4">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4">
        <v>45720</v>
      </c>
      <c r="G1719" s="4">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4">
        <v>45720</v>
      </c>
      <c r="G1720" s="4">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4">
        <v>45720</v>
      </c>
      <c r="G1721" s="4">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4">
        <v>45721</v>
      </c>
      <c r="G1722" s="4">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4">
        <v>45721</v>
      </c>
      <c r="G1723" s="4">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4">
        <v>45721</v>
      </c>
      <c r="G1724" s="4">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4">
        <v>45721</v>
      </c>
      <c r="G1725" s="4">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4">
        <v>45721</v>
      </c>
      <c r="G1726" s="4">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4">
        <v>45721</v>
      </c>
      <c r="G1727" s="4">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4">
        <v>45721</v>
      </c>
      <c r="G1728" s="4">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4">
        <v>45721</v>
      </c>
      <c r="G1729" s="4">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4">
        <v>45721</v>
      </c>
      <c r="G1730" s="4">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4">
        <v>45721</v>
      </c>
      <c r="G1731" s="4">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4">
        <v>45721</v>
      </c>
      <c r="G1732" s="4">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4">
        <v>45721</v>
      </c>
      <c r="G1733" s="4">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4">
        <v>45721</v>
      </c>
      <c r="G1734" s="4">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4">
        <v>45721</v>
      </c>
      <c r="G1735" s="4">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4">
        <v>45721</v>
      </c>
      <c r="G1736" s="4">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4">
        <v>45721</v>
      </c>
      <c r="G1737" s="4">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4">
        <v>45721</v>
      </c>
      <c r="G1738" s="4">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4">
        <v>45721</v>
      </c>
      <c r="G1739" s="4">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4">
        <v>45721</v>
      </c>
      <c r="G1740" s="4">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4">
        <v>45721</v>
      </c>
      <c r="G1741" s="4">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4">
        <v>45721</v>
      </c>
      <c r="G1742" s="4">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4">
        <v>45721</v>
      </c>
      <c r="G1743" s="4">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4">
        <v>45721</v>
      </c>
      <c r="G1744" s="4">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4">
        <v>45721</v>
      </c>
      <c r="G1745" s="4">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4">
        <v>45721</v>
      </c>
      <c r="G1746" s="4">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4">
        <v>45721</v>
      </c>
      <c r="G1747" s="4">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4">
        <v>45721</v>
      </c>
      <c r="G1748" s="4">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4">
        <v>45721</v>
      </c>
      <c r="G1749" s="4">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4">
        <v>45721</v>
      </c>
      <c r="G1750" s="4">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4">
        <v>45721</v>
      </c>
      <c r="G1751" s="4">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4">
        <v>45721</v>
      </c>
      <c r="G1752" s="4">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4">
        <v>45721</v>
      </c>
      <c r="G1753" s="4">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4">
        <v>45721</v>
      </c>
      <c r="G1754" s="4">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4">
        <v>45721</v>
      </c>
      <c r="G1755" s="4">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4">
        <v>45721</v>
      </c>
      <c r="G1756" s="4">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4">
        <v>45722</v>
      </c>
      <c r="G1757" s="4">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4">
        <v>45722</v>
      </c>
      <c r="G1758" s="4">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4">
        <v>45722</v>
      </c>
      <c r="G1759" s="4">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4">
        <v>45722</v>
      </c>
      <c r="G1760" s="4">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4">
        <v>45722</v>
      </c>
      <c r="G1761" s="4">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4">
        <v>45722</v>
      </c>
      <c r="G1762" s="4">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4">
        <v>45722</v>
      </c>
      <c r="G1763" s="4">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4">
        <v>45722</v>
      </c>
      <c r="G1764" s="4">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4">
        <v>45722</v>
      </c>
      <c r="G1765" s="4">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4">
        <v>45722</v>
      </c>
      <c r="G1766" s="4">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4">
        <v>45722</v>
      </c>
      <c r="G1767" s="4">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4">
        <v>45722</v>
      </c>
      <c r="G1768" s="4">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4">
        <v>45722</v>
      </c>
      <c r="G1769" s="4">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4">
        <v>45722</v>
      </c>
      <c r="G1770" s="4">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4">
        <v>45722</v>
      </c>
      <c r="G1771" s="4">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4">
        <v>45722</v>
      </c>
      <c r="G1772" s="4">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4">
        <v>45722</v>
      </c>
      <c r="G1773" s="4">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4">
        <v>45722</v>
      </c>
      <c r="G1774" s="4">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4">
        <v>45722</v>
      </c>
      <c r="G1775" s="4">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4">
        <v>45722</v>
      </c>
      <c r="G1776" s="4">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4">
        <v>45722</v>
      </c>
      <c r="G1777" s="4">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4">
        <v>45722</v>
      </c>
      <c r="G1778" s="4">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4">
        <v>45722</v>
      </c>
      <c r="G1779" s="4">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4">
        <v>45722</v>
      </c>
      <c r="G1780" s="4">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4">
        <v>45722</v>
      </c>
      <c r="G1781" s="4">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4">
        <v>45722</v>
      </c>
      <c r="G1782" s="4">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4">
        <v>45722</v>
      </c>
      <c r="G1783" s="4">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4">
        <v>45722</v>
      </c>
      <c r="G1784" s="4">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4">
        <v>45722</v>
      </c>
      <c r="G1785" s="4">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4">
        <v>45722</v>
      </c>
      <c r="G1786" s="4">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4">
        <v>45722</v>
      </c>
      <c r="G1787" s="4">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4">
        <v>45722</v>
      </c>
      <c r="G1788" s="4">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4">
        <v>45723</v>
      </c>
      <c r="G1789" s="4">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4">
        <v>45723</v>
      </c>
      <c r="G1790" s="4">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4">
        <v>45723</v>
      </c>
      <c r="G1791" s="4">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4">
        <v>45723</v>
      </c>
      <c r="G1792" s="4">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4">
        <v>45723</v>
      </c>
      <c r="G1793" s="4">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4">
        <v>45723</v>
      </c>
      <c r="G1794" s="4">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4">
        <v>45723</v>
      </c>
      <c r="G1795" s="4">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4">
        <v>45723</v>
      </c>
      <c r="G1796" s="4">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4">
        <v>45723</v>
      </c>
      <c r="G1797" s="4">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4">
        <v>45723</v>
      </c>
      <c r="G1798" s="4">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4">
        <v>45723</v>
      </c>
      <c r="G1799" s="4">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4">
        <v>45723</v>
      </c>
      <c r="G1800" s="4">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4">
        <v>45723</v>
      </c>
      <c r="G1801" s="4">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4">
        <v>45723</v>
      </c>
      <c r="G1802" s="4">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4">
        <v>45723</v>
      </c>
      <c r="G1803" s="4">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4">
        <v>45723</v>
      </c>
      <c r="G1804" s="4">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4">
        <v>45723</v>
      </c>
      <c r="G1805" s="4">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4">
        <v>45723</v>
      </c>
      <c r="G1806" s="4">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4">
        <v>45723</v>
      </c>
      <c r="G1807" s="4">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4">
        <v>45724</v>
      </c>
      <c r="G1808" s="4">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4">
        <v>45724</v>
      </c>
      <c r="G1809" s="4">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4">
        <v>45724</v>
      </c>
      <c r="G1810" s="4">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4">
        <v>45724</v>
      </c>
      <c r="G1811" s="4">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4">
        <v>45724</v>
      </c>
      <c r="G1812" s="4">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4">
        <v>45724</v>
      </c>
      <c r="G1813" s="4">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4">
        <v>45724</v>
      </c>
      <c r="G1814" s="4">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4">
        <v>45724</v>
      </c>
      <c r="G1815" s="4">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4">
        <v>45724</v>
      </c>
      <c r="G1816" s="4">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4">
        <v>45724</v>
      </c>
      <c r="G1817" s="4">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4">
        <v>45724</v>
      </c>
      <c r="G1818" s="4">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4">
        <v>45724</v>
      </c>
      <c r="G1819" s="4">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4">
        <v>45724</v>
      </c>
      <c r="G1820" s="4">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4">
        <v>45724</v>
      </c>
      <c r="G1821" s="4">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4">
        <v>45724</v>
      </c>
      <c r="G1822" s="4">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4">
        <v>45724</v>
      </c>
      <c r="G1823" s="4">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4">
        <v>45724</v>
      </c>
      <c r="G1824" s="4">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4">
        <v>45724</v>
      </c>
      <c r="G1825" s="4">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4">
        <v>45724</v>
      </c>
      <c r="G1826" s="4">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4">
        <v>45724</v>
      </c>
      <c r="G1827" s="4">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4">
        <v>45724</v>
      </c>
      <c r="G1828" s="4">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4">
        <v>45725</v>
      </c>
      <c r="G1829" s="4">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4">
        <v>45725</v>
      </c>
      <c r="G1830" s="4">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4">
        <v>45725</v>
      </c>
      <c r="G1831" s="4">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4">
        <v>45725</v>
      </c>
      <c r="G1832" s="4">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4">
        <v>45725</v>
      </c>
      <c r="G1833" s="4">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4">
        <v>45725</v>
      </c>
      <c r="G1834" s="4">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4">
        <v>45725</v>
      </c>
      <c r="G1835" s="4">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4">
        <v>45725</v>
      </c>
      <c r="G1836" s="4">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4">
        <v>45725</v>
      </c>
      <c r="G1837" s="4">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4">
        <v>45725</v>
      </c>
      <c r="G1838" s="4">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4">
        <v>45725</v>
      </c>
      <c r="G1839" s="4">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4">
        <v>45725</v>
      </c>
      <c r="G1840" s="4">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4">
        <v>45725</v>
      </c>
      <c r="G1841" s="4">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4">
        <v>45725</v>
      </c>
      <c r="G1842" s="4">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4">
        <v>45725</v>
      </c>
      <c r="G1843" s="4">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4">
        <v>45725</v>
      </c>
      <c r="G1844" s="4">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4">
        <v>45725</v>
      </c>
      <c r="G1845" s="4">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4">
        <v>45725</v>
      </c>
      <c r="G1846" s="4">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4">
        <v>45725</v>
      </c>
      <c r="G1847" s="4">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4">
        <v>45725</v>
      </c>
      <c r="G1848" s="4">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4">
        <v>45725</v>
      </c>
      <c r="G1849" s="4">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4">
        <v>45725</v>
      </c>
      <c r="G1850" s="4">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4">
        <v>45725</v>
      </c>
      <c r="G1851" s="4">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4">
        <v>45725</v>
      </c>
      <c r="G1852" s="4">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4">
        <v>45725</v>
      </c>
      <c r="G1853" s="4">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4">
        <v>45725</v>
      </c>
      <c r="G1854" s="4">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4">
        <v>45725</v>
      </c>
      <c r="G1855" s="4">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4">
        <v>45726</v>
      </c>
      <c r="G1856" s="4">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4">
        <v>45726</v>
      </c>
      <c r="G1857" s="4">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4">
        <v>45726</v>
      </c>
      <c r="G1858" s="4">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4">
        <v>45726</v>
      </c>
      <c r="G1859" s="4">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4">
        <v>45726</v>
      </c>
      <c r="G1860" s="4">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4">
        <v>45726</v>
      </c>
      <c r="G1861" s="4">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4">
        <v>45726</v>
      </c>
      <c r="G1862" s="4">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4">
        <v>45726</v>
      </c>
      <c r="G1863" s="4">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4">
        <v>45726</v>
      </c>
      <c r="G1864" s="4">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4">
        <v>45726</v>
      </c>
      <c r="G1865" s="4">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4">
        <v>45726</v>
      </c>
      <c r="G1866" s="4">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4">
        <v>45726</v>
      </c>
      <c r="G1867" s="4">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4">
        <v>45726</v>
      </c>
      <c r="G1868" s="4">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4">
        <v>45726</v>
      </c>
      <c r="G1869" s="4">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4">
        <v>45726</v>
      </c>
      <c r="G1870" s="4">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4">
        <v>45726</v>
      </c>
      <c r="G1871" s="4">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4">
        <v>45726</v>
      </c>
      <c r="G1872" s="4">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4">
        <v>45726</v>
      </c>
      <c r="G1873" s="4">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4">
        <v>45726</v>
      </c>
      <c r="G1874" s="4">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4">
        <v>45726</v>
      </c>
      <c r="G1875" s="4">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4">
        <v>45726</v>
      </c>
      <c r="G1876" s="4">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4">
        <v>45726</v>
      </c>
      <c r="G1877" s="4">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4">
        <v>45726</v>
      </c>
      <c r="G1878" s="4">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4">
        <v>45726</v>
      </c>
      <c r="G1879" s="4">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4">
        <v>45726</v>
      </c>
      <c r="G1880" s="4">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4">
        <v>45726</v>
      </c>
      <c r="G1881" s="4">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4">
        <v>45726</v>
      </c>
      <c r="G1882" s="4">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4">
        <v>45726</v>
      </c>
      <c r="G1883" s="4">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4">
        <v>45726</v>
      </c>
      <c r="G1884" s="4">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4">
        <v>45726</v>
      </c>
      <c r="G1885" s="4">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4">
        <v>45726</v>
      </c>
      <c r="G1886" s="4">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4">
        <v>45726</v>
      </c>
      <c r="G1887" s="4">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4">
        <v>45726</v>
      </c>
      <c r="G1888" s="4">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4">
        <v>45726</v>
      </c>
      <c r="G1889" s="4">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4">
        <v>45727</v>
      </c>
      <c r="G1890" s="4">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4">
        <v>45727</v>
      </c>
      <c r="G1891" s="4">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4">
        <v>45727</v>
      </c>
      <c r="G1892" s="4">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4">
        <v>45727</v>
      </c>
      <c r="G1893" s="4">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4">
        <v>45727</v>
      </c>
      <c r="G1894" s="4">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4">
        <v>45727</v>
      </c>
      <c r="G1895" s="4">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4">
        <v>45727</v>
      </c>
      <c r="G1896" s="4">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4">
        <v>45727</v>
      </c>
      <c r="G1897" s="4">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4">
        <v>45727</v>
      </c>
      <c r="G1898" s="4">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4">
        <v>45727</v>
      </c>
      <c r="G1899" s="4">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4">
        <v>45727</v>
      </c>
      <c r="G1900" s="4">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4">
        <v>45727</v>
      </c>
      <c r="G1901" s="4">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4">
        <v>45727</v>
      </c>
      <c r="G1902" s="4">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4">
        <v>45727</v>
      </c>
      <c r="G1903" s="4">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4">
        <v>45727</v>
      </c>
      <c r="G1904" s="4">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4">
        <v>45727</v>
      </c>
      <c r="G1905" s="4">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4">
        <v>45727</v>
      </c>
      <c r="G1906" s="4">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4">
        <v>45727</v>
      </c>
      <c r="G1907" s="4">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4">
        <v>45727</v>
      </c>
      <c r="G1908" s="4">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4">
        <v>45727</v>
      </c>
      <c r="G1909" s="4">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4">
        <v>45727</v>
      </c>
      <c r="G1910" s="4">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4">
        <v>45727</v>
      </c>
      <c r="G1911" s="4">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4">
        <v>45727</v>
      </c>
      <c r="G1912" s="4">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4">
        <v>45727</v>
      </c>
      <c r="G1913" s="4">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4">
        <v>45727</v>
      </c>
      <c r="G1914" s="4">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4">
        <v>45727</v>
      </c>
      <c r="G1915" s="4">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4">
        <v>45727</v>
      </c>
      <c r="G1916" s="4">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4">
        <v>45727</v>
      </c>
      <c r="G1917" s="4">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4">
        <v>45727</v>
      </c>
      <c r="G1918" s="4">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4">
        <v>45727</v>
      </c>
      <c r="G1919" s="4">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4">
        <v>45728</v>
      </c>
      <c r="G1920" s="4">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4">
        <v>45728</v>
      </c>
      <c r="G1921" s="4">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4">
        <v>45728</v>
      </c>
      <c r="G1922" s="4">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4">
        <v>45728</v>
      </c>
      <c r="G1923" s="4">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4">
        <v>45728</v>
      </c>
      <c r="G1924" s="4">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4">
        <v>45728</v>
      </c>
      <c r="G1925" s="4">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4">
        <v>45728</v>
      </c>
      <c r="G1926" s="4">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4">
        <v>45728</v>
      </c>
      <c r="G1927" s="4">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4">
        <v>45728</v>
      </c>
      <c r="G1928" s="4">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4">
        <v>45728</v>
      </c>
      <c r="G1929" s="4">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4">
        <v>45728</v>
      </c>
      <c r="G1930" s="4">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4">
        <v>45728</v>
      </c>
      <c r="G1931" s="4">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4">
        <v>45728</v>
      </c>
      <c r="G1932" s="4">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4">
        <v>45728</v>
      </c>
      <c r="G1933" s="4">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4">
        <v>45728</v>
      </c>
      <c r="G1934" s="4">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4">
        <v>45728</v>
      </c>
      <c r="G1935" s="4">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4">
        <v>45728</v>
      </c>
      <c r="G1936" s="4">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4">
        <v>45728</v>
      </c>
      <c r="G1937" s="4">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4">
        <v>45728</v>
      </c>
      <c r="G1938" s="4">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4">
        <v>45728</v>
      </c>
      <c r="G1939" s="4">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4">
        <v>45728</v>
      </c>
      <c r="G1940" s="4">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4">
        <v>45728</v>
      </c>
      <c r="G1941" s="4">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4">
        <v>45728</v>
      </c>
      <c r="G1942" s="4">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4">
        <v>45728</v>
      </c>
      <c r="G1943" s="4">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4">
        <v>45728</v>
      </c>
      <c r="G1944" s="4">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4">
        <v>45728</v>
      </c>
      <c r="G1945" s="4">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4">
        <v>45728</v>
      </c>
      <c r="G1946" s="4">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4">
        <v>45728</v>
      </c>
      <c r="G1947" s="4">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4">
        <v>45728</v>
      </c>
      <c r="G1948" s="4">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4">
        <v>45728</v>
      </c>
      <c r="G1949" s="4">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4">
        <v>45728</v>
      </c>
      <c r="G1950" s="4">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4">
        <v>45728</v>
      </c>
      <c r="G1951" s="4">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4">
        <v>45729</v>
      </c>
      <c r="G1952" s="4">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4">
        <v>45729</v>
      </c>
      <c r="G1953" s="4">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4">
        <v>45729</v>
      </c>
      <c r="G1954" s="4">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4">
        <v>45729</v>
      </c>
      <c r="G1955" s="4">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4">
        <v>45729</v>
      </c>
      <c r="G1956" s="4">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4">
        <v>45729</v>
      </c>
      <c r="G1957" s="4">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4">
        <v>45729</v>
      </c>
      <c r="G1958" s="4">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4">
        <v>45729</v>
      </c>
      <c r="G1959" s="4">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4">
        <v>45729</v>
      </c>
      <c r="G1960" s="4">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4">
        <v>45729</v>
      </c>
      <c r="G1961" s="4">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4">
        <v>45729</v>
      </c>
      <c r="G1962" s="4">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4">
        <v>45729</v>
      </c>
      <c r="G1963" s="4">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4">
        <v>45729</v>
      </c>
      <c r="G1964" s="4">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4">
        <v>45729</v>
      </c>
      <c r="G1965" s="4">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4">
        <v>45729</v>
      </c>
      <c r="G1966" s="4">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4">
        <v>45729</v>
      </c>
      <c r="G1967" s="4">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4">
        <v>45729</v>
      </c>
      <c r="G1968" s="4">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4">
        <v>45729</v>
      </c>
      <c r="G1969" s="4">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4">
        <v>45729</v>
      </c>
      <c r="G1970" s="4">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4">
        <v>45729</v>
      </c>
      <c r="G1971" s="4">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4">
        <v>45729</v>
      </c>
      <c r="G1972" s="4">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4">
        <v>45729</v>
      </c>
      <c r="G1973" s="4">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4">
        <v>45729</v>
      </c>
      <c r="G1974" s="4">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4">
        <v>45729</v>
      </c>
      <c r="G1975" s="4">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4">
        <v>45729</v>
      </c>
      <c r="G1976" s="4">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4">
        <v>45729</v>
      </c>
      <c r="G1977" s="4">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4">
        <v>45730</v>
      </c>
      <c r="G1978" s="4">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4">
        <v>45730</v>
      </c>
      <c r="G1979" s="4">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4">
        <v>45730</v>
      </c>
      <c r="G1980" s="4">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4">
        <v>45730</v>
      </c>
      <c r="G1981" s="4">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4">
        <v>45730</v>
      </c>
      <c r="G1982" s="4">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4">
        <v>45730</v>
      </c>
      <c r="G1983" s="4">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4">
        <v>45730</v>
      </c>
      <c r="G1984" s="4">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4">
        <v>45730</v>
      </c>
      <c r="G1985" s="4">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4">
        <v>45730</v>
      </c>
      <c r="G1986" s="4">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4">
        <v>45730</v>
      </c>
      <c r="G1987" s="4">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4">
        <v>45730</v>
      </c>
      <c r="G1988" s="4">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4">
        <v>45731</v>
      </c>
      <c r="G1989" s="4">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4">
        <v>45731</v>
      </c>
      <c r="G1990" s="4">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4">
        <v>45731</v>
      </c>
      <c r="G1991" s="4">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4">
        <v>45731</v>
      </c>
      <c r="G1992" s="4">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4">
        <v>45731</v>
      </c>
      <c r="G1993" s="4">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4">
        <v>45731</v>
      </c>
      <c r="G1994" s="4">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4">
        <v>45731</v>
      </c>
      <c r="G1995" s="4">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4">
        <v>45731</v>
      </c>
      <c r="G1996" s="4">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4">
        <v>45731</v>
      </c>
      <c r="G1997" s="4">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4">
        <v>45731</v>
      </c>
      <c r="G1998" s="4">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4">
        <v>45731</v>
      </c>
      <c r="G1999" s="4">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4">
        <v>45731</v>
      </c>
      <c r="G2000" s="4">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4">
        <v>45731</v>
      </c>
      <c r="G2001" s="4">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4">
        <v>45731</v>
      </c>
      <c r="G2002" s="4">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4">
        <v>45731</v>
      </c>
      <c r="G2003" s="4">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4">
        <v>45731</v>
      </c>
      <c r="G2004" s="4">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4">
        <v>45731</v>
      </c>
      <c r="G2005" s="4">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4">
        <v>45731</v>
      </c>
      <c r="G2006" s="4">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4">
        <v>45731</v>
      </c>
      <c r="G2007" s="4">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4">
        <v>45731</v>
      </c>
      <c r="G2008" s="4">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4">
        <v>45731</v>
      </c>
      <c r="G2009" s="4">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4">
        <v>45731</v>
      </c>
      <c r="G2010" s="4">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4">
        <v>45731</v>
      </c>
      <c r="G2011" s="4">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4">
        <v>45731</v>
      </c>
      <c r="G2012" s="4">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4">
        <v>45731</v>
      </c>
      <c r="G2013" s="4">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4">
        <v>45731</v>
      </c>
      <c r="G2014" s="4">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4">
        <v>45731</v>
      </c>
      <c r="G2015" s="4">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4">
        <v>45731</v>
      </c>
      <c r="G2016" s="4">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4">
        <v>45731</v>
      </c>
      <c r="G2017" s="4">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4">
        <v>45732</v>
      </c>
      <c r="G2018" s="4">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4">
        <v>45732</v>
      </c>
      <c r="G2019" s="4">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4">
        <v>45732</v>
      </c>
      <c r="G2020" s="4">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4">
        <v>45732</v>
      </c>
      <c r="G2021" s="4">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4">
        <v>45732</v>
      </c>
      <c r="G2022" s="4">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4">
        <v>45732</v>
      </c>
      <c r="G2023" s="4">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4">
        <v>45732</v>
      </c>
      <c r="G2024" s="4">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4">
        <v>45732</v>
      </c>
      <c r="G2025" s="4">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4">
        <v>45732</v>
      </c>
      <c r="G2026" s="4">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4">
        <v>45732</v>
      </c>
      <c r="G2027" s="4">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4">
        <v>45732</v>
      </c>
      <c r="G2028" s="4">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4">
        <v>45732</v>
      </c>
      <c r="G2029" s="4">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4">
        <v>45732</v>
      </c>
      <c r="G2030" s="4">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4">
        <v>45732</v>
      </c>
      <c r="G2031" s="4">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4">
        <v>45732</v>
      </c>
      <c r="G2032" s="4">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4">
        <v>45732</v>
      </c>
      <c r="G2033" s="4">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4">
        <v>45732</v>
      </c>
      <c r="G2034" s="4">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4">
        <v>45732</v>
      </c>
      <c r="G2035" s="4">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4">
        <v>45732</v>
      </c>
      <c r="G2036" s="4">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4">
        <v>45732</v>
      </c>
      <c r="G2037" s="4">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4">
        <v>45732</v>
      </c>
      <c r="G2038" s="4">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4">
        <v>45732</v>
      </c>
      <c r="G2039" s="4">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4">
        <v>45732</v>
      </c>
      <c r="G2040" s="4">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4">
        <v>45732</v>
      </c>
      <c r="G2041" s="4">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4">
        <v>45732</v>
      </c>
      <c r="G2042" s="4">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4">
        <v>45732</v>
      </c>
      <c r="G2043" s="4">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4">
        <v>45732</v>
      </c>
      <c r="G2044" s="4">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4">
        <v>45732</v>
      </c>
      <c r="G2045" s="4">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4">
        <v>45732</v>
      </c>
      <c r="G2046" s="4">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4">
        <v>45732</v>
      </c>
      <c r="G2047" s="4">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4">
        <v>45732</v>
      </c>
      <c r="G2048" s="4">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4">
        <v>45733</v>
      </c>
      <c r="G2049" s="4">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4">
        <v>45733</v>
      </c>
      <c r="G2050" s="4">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4">
        <v>45733</v>
      </c>
      <c r="G2051" s="4">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4">
        <v>45733</v>
      </c>
      <c r="G2052" s="4">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4">
        <v>45733</v>
      </c>
      <c r="G2053" s="4">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4">
        <v>45733</v>
      </c>
      <c r="G2054" s="4">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4">
        <v>45733</v>
      </c>
      <c r="G2055" s="4">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4">
        <v>45733</v>
      </c>
      <c r="G2056" s="4">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4">
        <v>45733</v>
      </c>
      <c r="G2057" s="4">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4">
        <v>45733</v>
      </c>
      <c r="G2058" s="4">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4">
        <v>45733</v>
      </c>
      <c r="G2059" s="4">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4">
        <v>45733</v>
      </c>
      <c r="G2060" s="4">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4">
        <v>45733</v>
      </c>
      <c r="G2061" s="4">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4">
        <v>45733</v>
      </c>
      <c r="G2062" s="4">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4">
        <v>45733</v>
      </c>
      <c r="G2063" s="4">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4">
        <v>45733</v>
      </c>
      <c r="G2064" s="4">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4">
        <v>45733</v>
      </c>
      <c r="G2065" s="4">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4">
        <v>45733</v>
      </c>
      <c r="G2066" s="4">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4">
        <v>45733</v>
      </c>
      <c r="G2067" s="4">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4">
        <v>45733</v>
      </c>
      <c r="G2068" s="4">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4">
        <v>45733</v>
      </c>
      <c r="G2069" s="4">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4">
        <v>45733</v>
      </c>
      <c r="G2070" s="4">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4">
        <v>45733</v>
      </c>
      <c r="G2071" s="4">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4">
        <v>45733</v>
      </c>
      <c r="G2072" s="4">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4">
        <v>45733</v>
      </c>
      <c r="G2073" s="4">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4">
        <v>45733</v>
      </c>
      <c r="G2074" s="4">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4">
        <v>45733</v>
      </c>
      <c r="G2075" s="4">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4">
        <v>45734</v>
      </c>
      <c r="G2076" s="4">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4">
        <v>45734</v>
      </c>
      <c r="G2077" s="4">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4">
        <v>45734</v>
      </c>
      <c r="G2078" s="4">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4">
        <v>45734</v>
      </c>
      <c r="G2079" s="4">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4">
        <v>45734</v>
      </c>
      <c r="G2080" s="4">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4">
        <v>45734</v>
      </c>
      <c r="G2081" s="4">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4">
        <v>45734</v>
      </c>
      <c r="G2082" s="4">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4">
        <v>45734</v>
      </c>
      <c r="G2083" s="4">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4">
        <v>45734</v>
      </c>
      <c r="G2084" s="4">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4">
        <v>45734</v>
      </c>
      <c r="G2085" s="4">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4">
        <v>45734</v>
      </c>
      <c r="G2086" s="4">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4">
        <v>45734</v>
      </c>
      <c r="G2087" s="4">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4">
        <v>45734</v>
      </c>
      <c r="G2088" s="4">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4">
        <v>45734</v>
      </c>
      <c r="G2089" s="4">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4">
        <v>45734</v>
      </c>
      <c r="G2090" s="4">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4">
        <v>45734</v>
      </c>
      <c r="G2091" s="4">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4">
        <v>45734</v>
      </c>
      <c r="G2092" s="4">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4">
        <v>45734</v>
      </c>
      <c r="G2093" s="4">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4">
        <v>45734</v>
      </c>
      <c r="G2094" s="4">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4">
        <v>45734</v>
      </c>
      <c r="G2095" s="4">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4">
        <v>45734</v>
      </c>
      <c r="G2096" s="4">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4">
        <v>45734</v>
      </c>
      <c r="G2097" s="4">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4">
        <v>45735</v>
      </c>
      <c r="G2098" s="4">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4">
        <v>45735</v>
      </c>
      <c r="G2099" s="4">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4">
        <v>45735</v>
      </c>
      <c r="G2100" s="4">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4">
        <v>45735</v>
      </c>
      <c r="G2101" s="4">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4">
        <v>45735</v>
      </c>
      <c r="G2102" s="4">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4">
        <v>45735</v>
      </c>
      <c r="G2103" s="4">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4">
        <v>45735</v>
      </c>
      <c r="G2104" s="4">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4">
        <v>45735</v>
      </c>
      <c r="G2105" s="4">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4">
        <v>45735</v>
      </c>
      <c r="G2106" s="4">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4">
        <v>45735</v>
      </c>
      <c r="G2107" s="4">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4">
        <v>45735</v>
      </c>
      <c r="G2108" s="4">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4">
        <v>45735</v>
      </c>
      <c r="G2109" s="4">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4">
        <v>45735</v>
      </c>
      <c r="G2110" s="4">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4">
        <v>45735</v>
      </c>
      <c r="G2111" s="4">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4">
        <v>45735</v>
      </c>
      <c r="G2112" s="4">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4">
        <v>45735</v>
      </c>
      <c r="G2113" s="4">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4">
        <v>45735</v>
      </c>
      <c r="G2114" s="4">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4">
        <v>45735</v>
      </c>
      <c r="G2115" s="4">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4">
        <v>45735</v>
      </c>
      <c r="G2116" s="4">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4">
        <v>45735</v>
      </c>
      <c r="G2117" s="4">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4">
        <v>45735</v>
      </c>
      <c r="G2118" s="4">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4">
        <v>45735</v>
      </c>
      <c r="G2119" s="4">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4">
        <v>45735</v>
      </c>
      <c r="G2120" s="4">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4">
        <v>45735</v>
      </c>
      <c r="G2121" s="4">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4">
        <v>45735</v>
      </c>
      <c r="G2122" s="4">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4">
        <v>45735</v>
      </c>
      <c r="G2123" s="4">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4">
        <v>45735</v>
      </c>
      <c r="G2124" s="4">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4">
        <v>45735</v>
      </c>
      <c r="G2125" s="4">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4">
        <v>45735</v>
      </c>
      <c r="G2126" s="4">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4">
        <v>45735</v>
      </c>
      <c r="G2127" s="4">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4">
        <v>45735</v>
      </c>
      <c r="G2128" s="4">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4">
        <v>45735</v>
      </c>
      <c r="G2129" s="4">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4">
        <v>45735</v>
      </c>
      <c r="G2130" s="4">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4">
        <v>45735</v>
      </c>
      <c r="G2131" s="4">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4">
        <v>45735</v>
      </c>
      <c r="G2132" s="4">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4">
        <v>45735</v>
      </c>
      <c r="G2133" s="4">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4">
        <v>45735</v>
      </c>
      <c r="G2134" s="4">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4">
        <v>45735</v>
      </c>
      <c r="G2135" s="4">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4">
        <v>45735</v>
      </c>
      <c r="G2136" s="4">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4">
        <v>45735</v>
      </c>
      <c r="G2137" s="4">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4">
        <v>45735</v>
      </c>
      <c r="G2138" s="4">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4">
        <v>45736</v>
      </c>
      <c r="G2139" s="4">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4">
        <v>45736</v>
      </c>
      <c r="G2140" s="4">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4">
        <v>45736</v>
      </c>
      <c r="G2141" s="4">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4">
        <v>45736</v>
      </c>
      <c r="G2142" s="4">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4">
        <v>45736</v>
      </c>
      <c r="G2143" s="4">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4">
        <v>45736</v>
      </c>
      <c r="G2144" s="4">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4">
        <v>45736</v>
      </c>
      <c r="G2145" s="4">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4">
        <v>45736</v>
      </c>
      <c r="G2146" s="4">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4">
        <v>45736</v>
      </c>
      <c r="G2147" s="4">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4">
        <v>45736</v>
      </c>
      <c r="G2148" s="4">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4">
        <v>45736</v>
      </c>
      <c r="G2149" s="4">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4">
        <v>45736</v>
      </c>
      <c r="G2150" s="4">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4">
        <v>45736</v>
      </c>
      <c r="G2151" s="4">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4">
        <v>45736</v>
      </c>
      <c r="G2152" s="4">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4">
        <v>45736</v>
      </c>
      <c r="G2153" s="4">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4">
        <v>45736</v>
      </c>
      <c r="G2154" s="4">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4">
        <v>45736</v>
      </c>
      <c r="G2155" s="4">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4">
        <v>45736</v>
      </c>
      <c r="G2156" s="4">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4">
        <v>45736</v>
      </c>
      <c r="G2157" s="4">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4">
        <v>45736</v>
      </c>
      <c r="G2158" s="4">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4">
        <v>45736</v>
      </c>
      <c r="G2159" s="4">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4">
        <v>45736</v>
      </c>
      <c r="G2160" s="4">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4">
        <v>45736</v>
      </c>
      <c r="G2161" s="4">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4">
        <v>45736</v>
      </c>
      <c r="G2162" s="4">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4">
        <v>45736</v>
      </c>
      <c r="G2163" s="4">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4">
        <v>45736</v>
      </c>
      <c r="G2164" s="4">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4">
        <v>45736</v>
      </c>
      <c r="G2165" s="4">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4">
        <v>45736</v>
      </c>
      <c r="G2166" s="4">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4">
        <v>45737</v>
      </c>
      <c r="G2167" s="4">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4">
        <v>45737</v>
      </c>
      <c r="G2168" s="4">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4">
        <v>45737</v>
      </c>
      <c r="G2169" s="4">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4">
        <v>45737</v>
      </c>
      <c r="G2170" s="4">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4">
        <v>45737</v>
      </c>
      <c r="G2171" s="4">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4">
        <v>45737</v>
      </c>
      <c r="G2172" s="4">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4">
        <v>45737</v>
      </c>
      <c r="G2173" s="4">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4">
        <v>45737</v>
      </c>
      <c r="G2174" s="4">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4">
        <v>45737</v>
      </c>
      <c r="G2175" s="4">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4">
        <v>45737</v>
      </c>
      <c r="G2176" s="4">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4">
        <v>45737</v>
      </c>
      <c r="G2177" s="4">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4">
        <v>45737</v>
      </c>
      <c r="G2178" s="4">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4">
        <v>45737</v>
      </c>
      <c r="G2179" s="4">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4">
        <v>45737</v>
      </c>
      <c r="G2180" s="4">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4">
        <v>45737</v>
      </c>
      <c r="G2181" s="4">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4">
        <v>45737</v>
      </c>
      <c r="G2182" s="4">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4">
        <v>45737</v>
      </c>
      <c r="G2183" s="4">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4">
        <v>45737</v>
      </c>
      <c r="G2184" s="4">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4">
        <v>45737</v>
      </c>
      <c r="G2185" s="4">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4">
        <v>45737</v>
      </c>
      <c r="G2186" s="4">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4">
        <v>45737</v>
      </c>
      <c r="G2187" s="4">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4">
        <v>45737</v>
      </c>
      <c r="G2188" s="4">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4">
        <v>45737</v>
      </c>
      <c r="G2189" s="4">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4">
        <v>45737</v>
      </c>
      <c r="G2190" s="4">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4">
        <v>45737</v>
      </c>
      <c r="G2191" s="4">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4">
        <v>45737</v>
      </c>
      <c r="G2192" s="4">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4">
        <v>45737</v>
      </c>
      <c r="G2193" s="4">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4">
        <v>45737</v>
      </c>
      <c r="G2194" s="4">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4">
        <v>45738</v>
      </c>
      <c r="G2195" s="4">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4">
        <v>45738</v>
      </c>
      <c r="G2196" s="4">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4">
        <v>45738</v>
      </c>
      <c r="G2197" s="4">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4">
        <v>45738</v>
      </c>
      <c r="G2198" s="4">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4">
        <v>45738</v>
      </c>
      <c r="G2199" s="4">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4">
        <v>45738</v>
      </c>
      <c r="G2200" s="4">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4">
        <v>45738</v>
      </c>
      <c r="G2201" s="4">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4">
        <v>45738</v>
      </c>
      <c r="G2202" s="4">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4">
        <v>45738</v>
      </c>
      <c r="G2203" s="4">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4">
        <v>45738</v>
      </c>
      <c r="G2204" s="4">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4">
        <v>45738</v>
      </c>
      <c r="G2205" s="4">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4">
        <v>45738</v>
      </c>
      <c r="G2206" s="4">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4">
        <v>45738</v>
      </c>
      <c r="G2207" s="4">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4">
        <v>45738</v>
      </c>
      <c r="G2208" s="4">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4">
        <v>45738</v>
      </c>
      <c r="G2209" s="4">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4">
        <v>45738</v>
      </c>
      <c r="G2210" s="4">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4">
        <v>45738</v>
      </c>
      <c r="G2211" s="4">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4">
        <v>45738</v>
      </c>
      <c r="G2212" s="4">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4">
        <v>45738</v>
      </c>
      <c r="G2213" s="4">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4">
        <v>45738</v>
      </c>
      <c r="G2214" s="4">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4">
        <v>45738</v>
      </c>
      <c r="G2215" s="4">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4">
        <v>45738</v>
      </c>
      <c r="G2216" s="4">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4">
        <v>45738</v>
      </c>
      <c r="G2217" s="4">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4">
        <v>45739</v>
      </c>
      <c r="G2218" s="4">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4">
        <v>45739</v>
      </c>
      <c r="G2219" s="4">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4">
        <v>45739</v>
      </c>
      <c r="G2220" s="4">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4">
        <v>45739</v>
      </c>
      <c r="G2221" s="4">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4">
        <v>45739</v>
      </c>
      <c r="G2222" s="4">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4">
        <v>45739</v>
      </c>
      <c r="G2223" s="4">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4">
        <v>45739</v>
      </c>
      <c r="G2224" s="4">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4">
        <v>45739</v>
      </c>
      <c r="G2225" s="4">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4">
        <v>45739</v>
      </c>
      <c r="G2226" s="4">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4">
        <v>45739</v>
      </c>
      <c r="G2227" s="4">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4">
        <v>45739</v>
      </c>
      <c r="G2228" s="4">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4">
        <v>45739</v>
      </c>
      <c r="G2229" s="4">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4">
        <v>45739</v>
      </c>
      <c r="G2230" s="4">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4">
        <v>45739</v>
      </c>
      <c r="G2231" s="4">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4">
        <v>45739</v>
      </c>
      <c r="G2232" s="4">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4">
        <v>45739</v>
      </c>
      <c r="G2233" s="4">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4">
        <v>45739</v>
      </c>
      <c r="G2234" s="4">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4">
        <v>45739</v>
      </c>
      <c r="G2235" s="4">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4">
        <v>45739</v>
      </c>
      <c r="G2236" s="4">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4">
        <v>45740</v>
      </c>
      <c r="G2237" s="4">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4">
        <v>45740</v>
      </c>
      <c r="G2238" s="4">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4">
        <v>45740</v>
      </c>
      <c r="G2239" s="4">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4">
        <v>45740</v>
      </c>
      <c r="G2240" s="4">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4">
        <v>45740</v>
      </c>
      <c r="G2241" s="4">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4">
        <v>45740</v>
      </c>
      <c r="G2242" s="4">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4">
        <v>45740</v>
      </c>
      <c r="G2243" s="4">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4">
        <v>45740</v>
      </c>
      <c r="G2244" s="4">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4">
        <v>45740</v>
      </c>
      <c r="G2245" s="4">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4">
        <v>45740</v>
      </c>
      <c r="G2246" s="4">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4">
        <v>45740</v>
      </c>
      <c r="G2247" s="4">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4">
        <v>45740</v>
      </c>
      <c r="G2248" s="4">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4">
        <v>45740</v>
      </c>
      <c r="G2249" s="4">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4">
        <v>45740</v>
      </c>
      <c r="G2250" s="4">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4">
        <v>45740</v>
      </c>
      <c r="G2251" s="4">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4">
        <v>45740</v>
      </c>
      <c r="G2252" s="4">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4">
        <v>45740</v>
      </c>
      <c r="G2253" s="4">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4">
        <v>45740</v>
      </c>
      <c r="G2254" s="4">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4">
        <v>45740</v>
      </c>
      <c r="G2255" s="4">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4">
        <v>45740</v>
      </c>
      <c r="G2256" s="4">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4">
        <v>45740</v>
      </c>
      <c r="G2257" s="4">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4">
        <v>45740</v>
      </c>
      <c r="G2258" s="4">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4">
        <v>45740</v>
      </c>
      <c r="G2259" s="4">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4">
        <v>45741</v>
      </c>
      <c r="G2260" s="4">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4">
        <v>45741</v>
      </c>
      <c r="G2261" s="4">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4">
        <v>45741</v>
      </c>
      <c r="G2262" s="4">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4">
        <v>45741</v>
      </c>
      <c r="G2263" s="4">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4">
        <v>45741</v>
      </c>
      <c r="G2264" s="4">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4">
        <v>45741</v>
      </c>
      <c r="G2265" s="4">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4">
        <v>45741</v>
      </c>
      <c r="G2266" s="4">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4">
        <v>45741</v>
      </c>
      <c r="G2267" s="4">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4">
        <v>45741</v>
      </c>
      <c r="G2268" s="4">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4">
        <v>45741</v>
      </c>
      <c r="G2269" s="4">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4">
        <v>45741</v>
      </c>
      <c r="G2270" s="4">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4">
        <v>45741</v>
      </c>
      <c r="G2271" s="4">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4">
        <v>45741</v>
      </c>
      <c r="G2272" s="4">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4">
        <v>45741</v>
      </c>
      <c r="G2273" s="4">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4">
        <v>45741</v>
      </c>
      <c r="G2274" s="4">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4">
        <v>45741</v>
      </c>
      <c r="G2275" s="4">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4">
        <v>45741</v>
      </c>
      <c r="G2276" s="4">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4">
        <v>45741</v>
      </c>
      <c r="G2277" s="4">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4">
        <v>45741</v>
      </c>
      <c r="G2278" s="4">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4">
        <v>45741</v>
      </c>
      <c r="G2279" s="4">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4">
        <v>45741</v>
      </c>
      <c r="G2280" s="4">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4">
        <v>45741</v>
      </c>
      <c r="G2281" s="4">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4">
        <v>45741</v>
      </c>
      <c r="G2282" s="4">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4">
        <v>45741</v>
      </c>
      <c r="G2283" s="4">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4">
        <v>45741</v>
      </c>
      <c r="G2284" s="4">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4">
        <v>45741</v>
      </c>
      <c r="G2285" s="4">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4">
        <v>45742</v>
      </c>
      <c r="G2286" s="4">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4">
        <v>45742</v>
      </c>
      <c r="G2287" s="4">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4">
        <v>45742</v>
      </c>
      <c r="G2288" s="4">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4">
        <v>45742</v>
      </c>
      <c r="G2289" s="4">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4">
        <v>45742</v>
      </c>
      <c r="G2290" s="4">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4">
        <v>45742</v>
      </c>
      <c r="G2291" s="4">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4">
        <v>45742</v>
      </c>
      <c r="G2292" s="4">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4">
        <v>45742</v>
      </c>
      <c r="G2293" s="4">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4">
        <v>45742</v>
      </c>
      <c r="G2294" s="4">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4">
        <v>45742</v>
      </c>
      <c r="G2295" s="4">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4">
        <v>45742</v>
      </c>
      <c r="G2296" s="4">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4">
        <v>45742</v>
      </c>
      <c r="G2297" s="4">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4">
        <v>45742</v>
      </c>
      <c r="G2298" s="4">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4">
        <v>45742</v>
      </c>
      <c r="G2299" s="4">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4">
        <v>45742</v>
      </c>
      <c r="G2300" s="4">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4">
        <v>45742</v>
      </c>
      <c r="G2301" s="4">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4">
        <v>45742</v>
      </c>
      <c r="G2302" s="4">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4">
        <v>45742</v>
      </c>
      <c r="G2303" s="4">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4">
        <v>45742</v>
      </c>
      <c r="G2304" s="4">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4">
        <v>45742</v>
      </c>
      <c r="G2305" s="4">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4">
        <v>45742</v>
      </c>
      <c r="G2306" s="4">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4">
        <v>45742</v>
      </c>
      <c r="G2307" s="4">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4">
        <v>45742</v>
      </c>
      <c r="G2308" s="4">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4">
        <v>45742</v>
      </c>
      <c r="G2309" s="4">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4">
        <v>45742</v>
      </c>
      <c r="G2310" s="4">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4">
        <v>45742</v>
      </c>
      <c r="G2311" s="4">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4">
        <v>45742</v>
      </c>
      <c r="G2312" s="4">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4">
        <v>45742</v>
      </c>
      <c r="G2313" s="4">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4">
        <v>45742</v>
      </c>
      <c r="G2314" s="4">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4">
        <v>45742</v>
      </c>
      <c r="G2315" s="4">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4">
        <v>45742</v>
      </c>
      <c r="G2316" s="4">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4">
        <v>45742</v>
      </c>
      <c r="G2317" s="4">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4">
        <v>45742</v>
      </c>
      <c r="G2318" s="4">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4">
        <v>45743</v>
      </c>
      <c r="G2319" s="4">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4">
        <v>45743</v>
      </c>
      <c r="G2320" s="4">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4">
        <v>45743</v>
      </c>
      <c r="G2321" s="4">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4">
        <v>45743</v>
      </c>
      <c r="G2322" s="4">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4">
        <v>45743</v>
      </c>
      <c r="G2323" s="4">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4">
        <v>45743</v>
      </c>
      <c r="G2324" s="4">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4">
        <v>45743</v>
      </c>
      <c r="G2325" s="4">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4">
        <v>45743</v>
      </c>
      <c r="G2326" s="4">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4">
        <v>45743</v>
      </c>
      <c r="G2327" s="4">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4">
        <v>45743</v>
      </c>
      <c r="G2328" s="4">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4">
        <v>45743</v>
      </c>
      <c r="G2329" s="4">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4">
        <v>45743</v>
      </c>
      <c r="G2330" s="4">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4">
        <v>45743</v>
      </c>
      <c r="G2331" s="4">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4">
        <v>45743</v>
      </c>
      <c r="G2332" s="4">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4">
        <v>45743</v>
      </c>
      <c r="G2333" s="4">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4">
        <v>45743</v>
      </c>
      <c r="G2334" s="4">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4">
        <v>45743</v>
      </c>
      <c r="G2335" s="4">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4">
        <v>45743</v>
      </c>
      <c r="G2336" s="4">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4">
        <v>45743</v>
      </c>
      <c r="G2337" s="4">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4">
        <v>45743</v>
      </c>
      <c r="G2338" s="4">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4">
        <v>45743</v>
      </c>
      <c r="G2339" s="4">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4">
        <v>45743</v>
      </c>
      <c r="G2340" s="4">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4">
        <v>45743</v>
      </c>
      <c r="G2341" s="4">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4">
        <v>45743</v>
      </c>
      <c r="G2342" s="4">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4">
        <v>45743</v>
      </c>
      <c r="G2343" s="4">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4">
        <v>45743</v>
      </c>
      <c r="G2344" s="4">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4">
        <v>45743</v>
      </c>
      <c r="G2345" s="4">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4">
        <v>45743</v>
      </c>
      <c r="G2346" s="4">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4">
        <v>45744</v>
      </c>
      <c r="G2347" s="4">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4">
        <v>45744</v>
      </c>
      <c r="G2348" s="4">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4">
        <v>45744</v>
      </c>
      <c r="G2349" s="4">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4">
        <v>45744</v>
      </c>
      <c r="G2350" s="4">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4">
        <v>45744</v>
      </c>
      <c r="G2351" s="4">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4">
        <v>45744</v>
      </c>
      <c r="G2352" s="4">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4">
        <v>45744</v>
      </c>
      <c r="G2353" s="4">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4">
        <v>45744</v>
      </c>
      <c r="G2354" s="4">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4">
        <v>45744</v>
      </c>
      <c r="G2355" s="4">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4">
        <v>45744</v>
      </c>
      <c r="G2356" s="4">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4">
        <v>45744</v>
      </c>
      <c r="G2357" s="4">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4">
        <v>45744</v>
      </c>
      <c r="G2358" s="4">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4">
        <v>45744</v>
      </c>
      <c r="G2359" s="4">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4">
        <v>45744</v>
      </c>
      <c r="G2360" s="4">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4">
        <v>45744</v>
      </c>
      <c r="G2361" s="4">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4">
        <v>45744</v>
      </c>
      <c r="G2362" s="4">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4">
        <v>45744</v>
      </c>
      <c r="G2363" s="4">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4">
        <v>45744</v>
      </c>
      <c r="G2364" s="4">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4">
        <v>45744</v>
      </c>
      <c r="G2365" s="4">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4">
        <v>45744</v>
      </c>
      <c r="G2366" s="4">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4">
        <v>45744</v>
      </c>
      <c r="G2367" s="4">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4">
        <v>45744</v>
      </c>
      <c r="G2368" s="4">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4">
        <v>45744</v>
      </c>
      <c r="G2369" s="4">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4">
        <v>45744</v>
      </c>
      <c r="G2370" s="4">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4">
        <v>45744</v>
      </c>
      <c r="G2371" s="4">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4">
        <v>45744</v>
      </c>
      <c r="G2372" s="4">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4">
        <v>45744</v>
      </c>
      <c r="G2373" s="4">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4">
        <v>45744</v>
      </c>
      <c r="G2374" s="4">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4">
        <v>45744</v>
      </c>
      <c r="G2375" s="4">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4">
        <v>45745</v>
      </c>
      <c r="G2376" s="4">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4">
        <v>45745</v>
      </c>
      <c r="G2377" s="4">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4">
        <v>45745</v>
      </c>
      <c r="G2378" s="4">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4">
        <v>45745</v>
      </c>
      <c r="G2379" s="4">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4">
        <v>45745</v>
      </c>
      <c r="G2380" s="4">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4">
        <v>45745</v>
      </c>
      <c r="G2381" s="4">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4">
        <v>45745</v>
      </c>
      <c r="G2382" s="4">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4">
        <v>45745</v>
      </c>
      <c r="G2383" s="4">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4">
        <v>45745</v>
      </c>
      <c r="G2384" s="4">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4">
        <v>45745</v>
      </c>
      <c r="G2385" s="4">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4">
        <v>45745</v>
      </c>
      <c r="G2386" s="4">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4">
        <v>45745</v>
      </c>
      <c r="G2387" s="4">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4">
        <v>45745</v>
      </c>
      <c r="G2388" s="4">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4">
        <v>45745</v>
      </c>
      <c r="G2389" s="4">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4">
        <v>45745</v>
      </c>
      <c r="G2390" s="4">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4">
        <v>45745</v>
      </c>
      <c r="G2391" s="4">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4">
        <v>45745</v>
      </c>
      <c r="G2392" s="4">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4">
        <v>45745</v>
      </c>
      <c r="G2393" s="4">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4">
        <v>45745</v>
      </c>
      <c r="G2394" s="4">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4">
        <v>45745</v>
      </c>
      <c r="G2395" s="4">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4">
        <v>45745</v>
      </c>
      <c r="G2396" s="4">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4">
        <v>45745</v>
      </c>
      <c r="G2397" s="4">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4">
        <v>45745</v>
      </c>
      <c r="G2398" s="4">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4">
        <v>45745</v>
      </c>
      <c r="G2399" s="4">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4">
        <v>45745</v>
      </c>
      <c r="G2400" s="4">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ht="33" customHeight="1" x14ac:dyDescent="0.25">
      <c r="A2401" t="s">
        <v>2502</v>
      </c>
      <c r="B2401" t="s">
        <v>146</v>
      </c>
      <c r="C2401">
        <v>2</v>
      </c>
      <c r="D2401">
        <v>84.2</v>
      </c>
      <c r="E2401">
        <v>168.4</v>
      </c>
      <c r="F2401" s="4">
        <v>45745</v>
      </c>
      <c r="G2401" s="4">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1" sqref="B11"/>
    </sheetView>
  </sheetViews>
  <sheetFormatPr defaultRowHeight="15" x14ac:dyDescent="0.25"/>
  <cols>
    <col min="1" max="1" width="3.7109375" customWidth="1"/>
    <col min="2" max="2" width="52.7109375" customWidth="1"/>
  </cols>
  <sheetData>
    <row r="2" spans="2:2" x14ac:dyDescent="0.25">
      <c r="B2" s="2" t="s">
        <v>2503</v>
      </c>
    </row>
    <row r="3" spans="2:2" x14ac:dyDescent="0.25">
      <c r="B3" s="3" t="s">
        <v>2504</v>
      </c>
    </row>
    <row r="4" spans="2:2" x14ac:dyDescent="0.25">
      <c r="B4" s="3" t="s">
        <v>2505</v>
      </c>
    </row>
    <row r="5" spans="2:2" x14ac:dyDescent="0.25">
      <c r="B5" s="3" t="s">
        <v>2506</v>
      </c>
    </row>
    <row r="6" spans="2:2" x14ac:dyDescent="0.25">
      <c r="B6" s="3" t="s">
        <v>2507</v>
      </c>
    </row>
    <row r="7" spans="2:2" x14ac:dyDescent="0.25">
      <c r="B7" s="3" t="s">
        <v>2508</v>
      </c>
    </row>
    <row r="10" spans="2:2" x14ac:dyDescent="0.25">
      <c r="B10" s="2"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D6CB-AEB6-4737-B536-BAE0C3A1AFBF}">
  <dimension ref="A1:K49"/>
  <sheetViews>
    <sheetView workbookViewId="0">
      <selection activeCell="C11" sqref="C11"/>
    </sheetView>
  </sheetViews>
  <sheetFormatPr defaultRowHeight="15" x14ac:dyDescent="0.25"/>
  <cols>
    <col min="1" max="1" width="14" bestFit="1" customWidth="1"/>
    <col min="2" max="2" width="15.5703125" bestFit="1" customWidth="1"/>
    <col min="3" max="3" width="14.85546875" bestFit="1" customWidth="1"/>
    <col min="4" max="4" width="18.7109375" bestFit="1" customWidth="1"/>
    <col min="5" max="5" width="25" bestFit="1" customWidth="1"/>
  </cols>
  <sheetData>
    <row r="1" spans="1:11" x14ac:dyDescent="0.25">
      <c r="A1" s="30" t="s">
        <v>2510</v>
      </c>
      <c r="B1" s="30"/>
      <c r="C1" s="27"/>
    </row>
    <row r="3" spans="1:11" x14ac:dyDescent="0.25">
      <c r="A3" t="s">
        <v>2519</v>
      </c>
      <c r="B3" t="s">
        <v>2520</v>
      </c>
      <c r="C3" t="s">
        <v>2521</v>
      </c>
      <c r="D3" t="s">
        <v>2523</v>
      </c>
      <c r="E3" t="s">
        <v>2524</v>
      </c>
    </row>
    <row r="4" spans="1:11" x14ac:dyDescent="0.25">
      <c r="A4" s="25">
        <v>2400</v>
      </c>
      <c r="B4" s="25">
        <v>11997</v>
      </c>
      <c r="C4" s="25">
        <v>649019.80000000144</v>
      </c>
      <c r="D4" s="25">
        <v>3.9620833333333332</v>
      </c>
      <c r="E4" s="25">
        <v>2.3424999999999998</v>
      </c>
    </row>
    <row r="7" spans="1:11" x14ac:dyDescent="0.25">
      <c r="F7" t="s">
        <v>2525</v>
      </c>
    </row>
    <row r="8" spans="1:11" x14ac:dyDescent="0.25">
      <c r="F8" t="s">
        <v>2518</v>
      </c>
      <c r="G8" t="s">
        <v>2526</v>
      </c>
      <c r="H8" t="s">
        <v>4</v>
      </c>
      <c r="I8" t="s">
        <v>2527</v>
      </c>
      <c r="J8" t="s">
        <v>2528</v>
      </c>
    </row>
    <row r="9" spans="1:11" x14ac:dyDescent="0.25">
      <c r="F9" t="str">
        <f>TEXT(A4,"#,##")</f>
        <v>2,400</v>
      </c>
      <c r="G9" t="str">
        <f t="shared" ref="G9:K9" si="0">TEXT(B4,"#,##")</f>
        <v>11,997</v>
      </c>
      <c r="H9" t="str">
        <f>TEXT(C4,"$#,##,.0k")</f>
        <v>$649.0k</v>
      </c>
      <c r="I9" t="str">
        <f>TEXT(D4,"0.0")</f>
        <v>4.0</v>
      </c>
      <c r="J9" t="str">
        <f>TEXT(E4,"0.0")</f>
        <v>2.3</v>
      </c>
      <c r="K9" t="str">
        <f t="shared" si="0"/>
        <v/>
      </c>
    </row>
    <row r="14" spans="1:11" x14ac:dyDescent="0.25">
      <c r="A14" s="30" t="s">
        <v>2511</v>
      </c>
      <c r="B14" s="30"/>
      <c r="C14" s="26"/>
    </row>
    <row r="16" spans="1:11" x14ac:dyDescent="0.25">
      <c r="A16" s="6" t="s">
        <v>2529</v>
      </c>
      <c r="B16" t="s">
        <v>2520</v>
      </c>
      <c r="C16" s="8" t="s">
        <v>2521</v>
      </c>
    </row>
    <row r="17" spans="1:3" x14ac:dyDescent="0.25">
      <c r="A17" s="7">
        <v>1</v>
      </c>
      <c r="B17" s="25">
        <v>546</v>
      </c>
      <c r="C17" s="8">
        <v>32413.300000000003</v>
      </c>
    </row>
    <row r="18" spans="1:3" x14ac:dyDescent="0.25">
      <c r="A18" s="7">
        <v>2</v>
      </c>
      <c r="B18" s="25">
        <v>905</v>
      </c>
      <c r="C18" s="8">
        <v>49562.999999999993</v>
      </c>
    </row>
    <row r="19" spans="1:3" x14ac:dyDescent="0.25">
      <c r="A19" s="7">
        <v>3</v>
      </c>
      <c r="B19" s="25">
        <v>796</v>
      </c>
      <c r="C19" s="8">
        <v>41700.400000000016</v>
      </c>
    </row>
    <row r="20" spans="1:3" x14ac:dyDescent="0.25">
      <c r="A20" s="7">
        <v>4</v>
      </c>
      <c r="B20" s="25">
        <v>913</v>
      </c>
      <c r="C20" s="8">
        <v>46782.599999999984</v>
      </c>
    </row>
    <row r="21" spans="1:3" x14ac:dyDescent="0.25">
      <c r="A21" s="7">
        <v>5</v>
      </c>
      <c r="B21" s="25">
        <v>844</v>
      </c>
      <c r="C21" s="8">
        <v>42676.100000000006</v>
      </c>
    </row>
    <row r="22" spans="1:3" x14ac:dyDescent="0.25">
      <c r="A22" s="7">
        <v>6</v>
      </c>
      <c r="B22" s="25">
        <v>1202</v>
      </c>
      <c r="C22" s="8">
        <v>62910.7</v>
      </c>
    </row>
    <row r="23" spans="1:3" x14ac:dyDescent="0.25">
      <c r="A23" s="7">
        <v>7</v>
      </c>
      <c r="B23" s="25">
        <v>935</v>
      </c>
      <c r="C23" s="8">
        <v>50332.200000000004</v>
      </c>
    </row>
    <row r="24" spans="1:3" x14ac:dyDescent="0.25">
      <c r="A24" s="7">
        <v>8</v>
      </c>
      <c r="B24" s="25">
        <v>1128</v>
      </c>
      <c r="C24" s="8">
        <v>58760.599999999977</v>
      </c>
    </row>
    <row r="25" spans="1:3" x14ac:dyDescent="0.25">
      <c r="A25" s="7">
        <v>9</v>
      </c>
      <c r="B25" s="25">
        <v>1007</v>
      </c>
      <c r="C25" s="8">
        <v>52017.299999999996</v>
      </c>
    </row>
    <row r="26" spans="1:3" x14ac:dyDescent="0.25">
      <c r="A26" s="7">
        <v>10</v>
      </c>
      <c r="B26" s="25">
        <v>1128</v>
      </c>
      <c r="C26" s="8">
        <v>64915.700000000033</v>
      </c>
    </row>
    <row r="27" spans="1:3" x14ac:dyDescent="0.25">
      <c r="A27" s="7">
        <v>11</v>
      </c>
      <c r="B27" s="25">
        <v>861</v>
      </c>
      <c r="C27" s="8">
        <v>45943.80000000001</v>
      </c>
    </row>
    <row r="28" spans="1:3" x14ac:dyDescent="0.25">
      <c r="A28" s="7">
        <v>12</v>
      </c>
      <c r="B28" s="25">
        <v>944</v>
      </c>
      <c r="C28" s="8">
        <v>55077.900000000031</v>
      </c>
    </row>
    <row r="29" spans="1:3" x14ac:dyDescent="0.25">
      <c r="A29" s="7">
        <v>13</v>
      </c>
      <c r="B29" s="25">
        <v>788</v>
      </c>
      <c r="C29" s="8">
        <v>45926.19999999999</v>
      </c>
    </row>
    <row r="30" spans="1:3" x14ac:dyDescent="0.25">
      <c r="A30" s="7" t="s">
        <v>2530</v>
      </c>
      <c r="B30" s="25">
        <v>11997</v>
      </c>
      <c r="C30" s="8">
        <v>649019.80000000144</v>
      </c>
    </row>
    <row r="35" spans="2:3" x14ac:dyDescent="0.25">
      <c r="B35" s="22"/>
      <c r="C35" s="23"/>
    </row>
    <row r="36" spans="2:3" x14ac:dyDescent="0.25">
      <c r="C36" s="8"/>
    </row>
    <row r="37" spans="2:3" x14ac:dyDescent="0.25">
      <c r="C37" s="8"/>
    </row>
    <row r="38" spans="2:3" x14ac:dyDescent="0.25">
      <c r="C38" s="8"/>
    </row>
    <row r="39" spans="2:3" x14ac:dyDescent="0.25">
      <c r="C39" s="8"/>
    </row>
    <row r="40" spans="2:3" x14ac:dyDescent="0.25">
      <c r="C40" s="8"/>
    </row>
    <row r="41" spans="2:3" x14ac:dyDescent="0.25">
      <c r="C41" s="8"/>
    </row>
    <row r="42" spans="2:3" x14ac:dyDescent="0.25">
      <c r="C42" s="8"/>
    </row>
    <row r="43" spans="2:3" x14ac:dyDescent="0.25">
      <c r="C43" s="8"/>
    </row>
    <row r="44" spans="2:3" x14ac:dyDescent="0.25">
      <c r="C44" s="8"/>
    </row>
    <row r="45" spans="2:3" x14ac:dyDescent="0.25">
      <c r="C45" s="8"/>
    </row>
    <row r="46" spans="2:3" x14ac:dyDescent="0.25">
      <c r="C46" s="8"/>
    </row>
    <row r="47" spans="2:3" x14ac:dyDescent="0.25">
      <c r="C47" s="8"/>
    </row>
    <row r="48" spans="2:3" x14ac:dyDescent="0.25">
      <c r="C48" s="8"/>
    </row>
    <row r="49" spans="2:3" x14ac:dyDescent="0.25">
      <c r="B49" s="9"/>
      <c r="C49" s="10"/>
    </row>
  </sheetData>
  <mergeCells count="2">
    <mergeCell ref="A14:B1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45B38-DC03-4EBD-B73C-F798703E3435}">
  <dimension ref="A1:L61"/>
  <sheetViews>
    <sheetView topLeftCell="A2" zoomScale="65" zoomScaleNormal="65" workbookViewId="0">
      <selection activeCell="M13" sqref="M13"/>
    </sheetView>
  </sheetViews>
  <sheetFormatPr defaultRowHeight="15" x14ac:dyDescent="0.25"/>
  <cols>
    <col min="1" max="1" width="22" bestFit="1" customWidth="1"/>
    <col min="2" max="2" width="26.140625" bestFit="1" customWidth="1"/>
    <col min="3" max="3" width="21.42578125" bestFit="1" customWidth="1"/>
    <col min="4" max="4" width="20.42578125" bestFit="1" customWidth="1"/>
    <col min="5" max="5" width="12.85546875" bestFit="1" customWidth="1"/>
    <col min="6" max="6" width="17" bestFit="1" customWidth="1"/>
    <col min="7" max="7" width="14.42578125" bestFit="1" customWidth="1"/>
    <col min="8" max="8" width="20.140625" bestFit="1" customWidth="1"/>
    <col min="9" max="10" width="16.85546875" bestFit="1" customWidth="1"/>
    <col min="11" max="11" width="14.28515625" bestFit="1" customWidth="1"/>
    <col min="12" max="12" width="13.5703125" bestFit="1" customWidth="1"/>
    <col min="13" max="13" width="17.28515625" bestFit="1" customWidth="1"/>
    <col min="14" max="14" width="15.5703125" bestFit="1" customWidth="1"/>
    <col min="15" max="15" width="11.85546875" bestFit="1" customWidth="1"/>
    <col min="16" max="16" width="12.140625" bestFit="1" customWidth="1"/>
    <col min="17" max="17" width="12.85546875" bestFit="1" customWidth="1"/>
    <col min="18" max="18" width="12.140625" bestFit="1" customWidth="1"/>
    <col min="19" max="19" width="14.42578125" bestFit="1" customWidth="1"/>
    <col min="20" max="20" width="19" bestFit="1" customWidth="1"/>
    <col min="21" max="21" width="14.7109375" bestFit="1" customWidth="1"/>
    <col min="22" max="22" width="13.140625" bestFit="1" customWidth="1"/>
    <col min="23" max="23" width="16.28515625" bestFit="1" customWidth="1"/>
    <col min="24" max="24" width="18.28515625" bestFit="1" customWidth="1"/>
    <col min="25" max="25" width="14.85546875" bestFit="1" customWidth="1"/>
    <col min="26" max="26" width="14.140625" bestFit="1" customWidth="1"/>
    <col min="27" max="27" width="13.140625" bestFit="1" customWidth="1"/>
    <col min="28" max="28" width="16.7109375" bestFit="1" customWidth="1"/>
    <col min="29" max="29" width="12.5703125" bestFit="1" customWidth="1"/>
    <col min="30" max="30" width="14.85546875" bestFit="1" customWidth="1"/>
    <col min="31" max="31" width="14.5703125" bestFit="1" customWidth="1"/>
    <col min="32" max="32" width="13.7109375" bestFit="1" customWidth="1"/>
    <col min="33" max="33" width="14.7109375" bestFit="1" customWidth="1"/>
    <col min="34" max="34" width="16.7109375" bestFit="1" customWidth="1"/>
    <col min="35" max="35" width="19" bestFit="1" customWidth="1"/>
    <col min="36" max="36" width="17.85546875" bestFit="1" customWidth="1"/>
    <col min="37" max="37" width="22" bestFit="1" customWidth="1"/>
    <col min="38" max="38" width="17.28515625" bestFit="1" customWidth="1"/>
    <col min="39" max="39" width="13.42578125" bestFit="1" customWidth="1"/>
    <col min="40" max="40" width="18.85546875" bestFit="1" customWidth="1"/>
    <col min="41" max="41" width="22.7109375" bestFit="1" customWidth="1"/>
    <col min="42" max="42" width="17.5703125" bestFit="1" customWidth="1"/>
    <col min="43" max="43" width="20.42578125" bestFit="1" customWidth="1"/>
    <col min="44" max="44" width="18.42578125" bestFit="1" customWidth="1"/>
    <col min="45" max="45" width="17.85546875" bestFit="1" customWidth="1"/>
    <col min="46" max="46" width="14.140625" bestFit="1" customWidth="1"/>
    <col min="47" max="47" width="13.42578125" bestFit="1" customWidth="1"/>
    <col min="48" max="48" width="15.7109375" bestFit="1" customWidth="1"/>
    <col min="49" max="49" width="14.28515625" bestFit="1" customWidth="1"/>
    <col min="50" max="50" width="15.42578125" bestFit="1" customWidth="1"/>
    <col min="51" max="51" width="17.5703125" bestFit="1" customWidth="1"/>
    <col min="52" max="52" width="13.7109375" bestFit="1" customWidth="1"/>
    <col min="53" max="53" width="15.140625" bestFit="1" customWidth="1"/>
    <col min="54" max="54" width="13.85546875" bestFit="1" customWidth="1"/>
    <col min="55" max="55" width="13.7109375" bestFit="1" customWidth="1"/>
    <col min="56" max="56" width="17.28515625" bestFit="1" customWidth="1"/>
    <col min="57" max="57" width="15.140625" bestFit="1" customWidth="1"/>
    <col min="58" max="58" width="12" bestFit="1" customWidth="1"/>
    <col min="59" max="59" width="12.42578125" bestFit="1" customWidth="1"/>
    <col min="60" max="60" width="15.85546875" bestFit="1" customWidth="1"/>
    <col min="61" max="61" width="13.85546875" bestFit="1" customWidth="1"/>
    <col min="62" max="62" width="15" bestFit="1" customWidth="1"/>
    <col min="63" max="63" width="12.85546875" bestFit="1" customWidth="1"/>
    <col min="64" max="64" width="17" bestFit="1" customWidth="1"/>
    <col min="65" max="65" width="14.42578125" bestFit="1" customWidth="1"/>
    <col min="66" max="66" width="20.140625" bestFit="1" customWidth="1"/>
    <col min="67" max="68" width="16.85546875" bestFit="1" customWidth="1"/>
    <col min="69" max="69" width="14.28515625" bestFit="1" customWidth="1"/>
    <col min="70" max="70" width="13.5703125" bestFit="1" customWidth="1"/>
    <col min="71" max="71" width="17.28515625" bestFit="1" customWidth="1"/>
    <col min="72" max="72" width="15.5703125" bestFit="1" customWidth="1"/>
    <col min="73" max="73" width="11.85546875" bestFit="1" customWidth="1"/>
    <col min="74" max="74" width="12.140625" bestFit="1" customWidth="1"/>
    <col min="75" max="75" width="12.85546875" bestFit="1" customWidth="1"/>
    <col min="76" max="76" width="12.140625" bestFit="1" customWidth="1"/>
    <col min="77" max="77" width="14.42578125" bestFit="1" customWidth="1"/>
    <col min="78" max="78" width="19" bestFit="1" customWidth="1"/>
    <col min="79" max="79" width="14.7109375" bestFit="1" customWidth="1"/>
    <col min="80" max="80" width="13.140625" bestFit="1" customWidth="1"/>
    <col min="81" max="81" width="16.28515625" bestFit="1" customWidth="1"/>
    <col min="82" max="82" width="18.28515625" bestFit="1" customWidth="1"/>
    <col min="83" max="83" width="14.85546875" bestFit="1" customWidth="1"/>
    <col min="84" max="84" width="14.140625" bestFit="1" customWidth="1"/>
    <col min="85" max="85" width="13.140625" bestFit="1" customWidth="1"/>
    <col min="86" max="86" width="16.7109375" bestFit="1" customWidth="1"/>
    <col min="87" max="87" width="12.5703125" bestFit="1" customWidth="1"/>
    <col min="88" max="88" width="14.85546875" bestFit="1" customWidth="1"/>
    <col min="89" max="89" width="14.5703125" bestFit="1" customWidth="1"/>
    <col min="90" max="90" width="13.7109375" bestFit="1" customWidth="1"/>
    <col min="91" max="91" width="14.7109375" bestFit="1" customWidth="1"/>
    <col min="92" max="92" width="16.7109375" bestFit="1" customWidth="1"/>
    <col min="93" max="93" width="19" bestFit="1" customWidth="1"/>
    <col min="94" max="94" width="17.85546875" bestFit="1" customWidth="1"/>
    <col min="95" max="95" width="22" bestFit="1" customWidth="1"/>
    <col min="96" max="96" width="17.28515625" bestFit="1" customWidth="1"/>
    <col min="97" max="97" width="13.42578125" bestFit="1" customWidth="1"/>
    <col min="98" max="98" width="18.85546875" bestFit="1" customWidth="1"/>
    <col min="99" max="99" width="22.7109375" bestFit="1" customWidth="1"/>
    <col min="100" max="100" width="17.5703125" bestFit="1" customWidth="1"/>
    <col min="101" max="101" width="20.42578125" bestFit="1" customWidth="1"/>
    <col min="102" max="102" width="18.42578125" bestFit="1" customWidth="1"/>
    <col min="103" max="103" width="17.85546875" bestFit="1" customWidth="1"/>
    <col min="104" max="104" width="14.140625" bestFit="1" customWidth="1"/>
    <col min="105" max="105" width="13.42578125" bestFit="1" customWidth="1"/>
    <col min="106" max="106" width="15.7109375" bestFit="1" customWidth="1"/>
    <col min="107" max="107" width="14.28515625" bestFit="1" customWidth="1"/>
    <col min="108" max="108" width="15.42578125" bestFit="1" customWidth="1"/>
    <col min="109" max="109" width="17.5703125" bestFit="1" customWidth="1"/>
    <col min="110" max="110" width="13.7109375" bestFit="1" customWidth="1"/>
    <col min="111" max="111" width="15.140625" bestFit="1" customWidth="1"/>
    <col min="112" max="112" width="13.85546875" bestFit="1" customWidth="1"/>
    <col min="113" max="113" width="13.7109375" bestFit="1" customWidth="1"/>
    <col min="114" max="114" width="17.28515625" bestFit="1" customWidth="1"/>
    <col min="115" max="115" width="15.140625" bestFit="1" customWidth="1"/>
    <col min="116" max="116" width="12" bestFit="1" customWidth="1"/>
    <col min="117" max="117" width="12.42578125" bestFit="1" customWidth="1"/>
    <col min="118" max="118" width="20.5703125" bestFit="1" customWidth="1"/>
    <col min="119" max="120" width="19.85546875" bestFit="1" customWidth="1"/>
  </cols>
  <sheetData>
    <row r="1" spans="1:12" x14ac:dyDescent="0.25">
      <c r="A1" s="30" t="s">
        <v>2515</v>
      </c>
      <c r="B1" s="30"/>
    </row>
    <row r="2" spans="1:12" x14ac:dyDescent="0.25">
      <c r="F2" t="s">
        <v>2538</v>
      </c>
      <c r="J2" t="s">
        <v>2539</v>
      </c>
    </row>
    <row r="3" spans="1:12" x14ac:dyDescent="0.25">
      <c r="A3" s="6" t="s">
        <v>10</v>
      </c>
      <c r="B3" s="6" t="s">
        <v>11</v>
      </c>
      <c r="C3" t="s">
        <v>2520</v>
      </c>
      <c r="D3" t="s">
        <v>2521</v>
      </c>
      <c r="F3" t="str">
        <f>A3</f>
        <v>State</v>
      </c>
      <c r="G3" t="str">
        <f t="shared" ref="G3:H3" si="0">B3</f>
        <v>County</v>
      </c>
      <c r="H3" t="str">
        <f t="shared" si="0"/>
        <v>Sum of Quantity</v>
      </c>
      <c r="J3" t="str">
        <f>A3</f>
        <v>State</v>
      </c>
      <c r="K3" t="str">
        <f>B3</f>
        <v>County</v>
      </c>
      <c r="L3" t="str">
        <f>D3</f>
        <v>Sum of Amount</v>
      </c>
    </row>
    <row r="4" spans="1:12" x14ac:dyDescent="0.25">
      <c r="A4" t="s">
        <v>19</v>
      </c>
      <c r="B4" t="s">
        <v>115</v>
      </c>
      <c r="C4" s="25">
        <v>579</v>
      </c>
      <c r="D4" s="25">
        <v>31884.999999999996</v>
      </c>
      <c r="F4" t="str">
        <f t="shared" ref="F4:F24" si="1">A4</f>
        <v>California</v>
      </c>
      <c r="G4" t="str">
        <f t="shared" ref="G4:G24" si="2">B4</f>
        <v>Alameda County</v>
      </c>
      <c r="H4">
        <f t="shared" ref="H4:H24" si="3">C4</f>
        <v>579</v>
      </c>
      <c r="J4" t="str">
        <f t="shared" ref="J4:J24" si="4">A4</f>
        <v>California</v>
      </c>
      <c r="K4" t="str">
        <f t="shared" ref="K4:K24" si="5">B4</f>
        <v>Alameda County</v>
      </c>
      <c r="L4">
        <f t="shared" ref="L4:L24" si="6">D4</f>
        <v>31884.999999999996</v>
      </c>
    </row>
    <row r="5" spans="1:12" x14ac:dyDescent="0.25">
      <c r="A5" t="s">
        <v>19</v>
      </c>
      <c r="B5" t="s">
        <v>20</v>
      </c>
      <c r="C5" s="25">
        <v>1</v>
      </c>
      <c r="D5" s="25">
        <v>10.9</v>
      </c>
      <c r="F5" t="str">
        <f t="shared" si="1"/>
        <v>California</v>
      </c>
      <c r="G5" t="str">
        <f t="shared" si="2"/>
        <v>Alpine County</v>
      </c>
      <c r="H5">
        <f t="shared" si="3"/>
        <v>1</v>
      </c>
      <c r="J5" t="str">
        <f t="shared" si="4"/>
        <v>California</v>
      </c>
      <c r="K5" t="str">
        <f t="shared" si="5"/>
        <v>Alpine County</v>
      </c>
      <c r="L5">
        <f t="shared" si="6"/>
        <v>10.9</v>
      </c>
    </row>
    <row r="6" spans="1:12" x14ac:dyDescent="0.25">
      <c r="A6" t="s">
        <v>19</v>
      </c>
      <c r="B6" t="s">
        <v>641</v>
      </c>
      <c r="C6" s="25">
        <v>9</v>
      </c>
      <c r="D6" s="25">
        <v>800.3</v>
      </c>
      <c r="F6" t="str">
        <f t="shared" si="1"/>
        <v>California</v>
      </c>
      <c r="G6" t="str">
        <f t="shared" si="2"/>
        <v>Amador County</v>
      </c>
      <c r="H6">
        <f t="shared" si="3"/>
        <v>9</v>
      </c>
      <c r="J6" t="str">
        <f t="shared" si="4"/>
        <v>California</v>
      </c>
      <c r="K6" t="str">
        <f t="shared" si="5"/>
        <v>Amador County</v>
      </c>
      <c r="L6">
        <f t="shared" si="6"/>
        <v>800.3</v>
      </c>
    </row>
    <row r="7" spans="1:12" x14ac:dyDescent="0.25">
      <c r="A7" t="s">
        <v>19</v>
      </c>
      <c r="B7" t="s">
        <v>967</v>
      </c>
      <c r="C7" s="25">
        <v>35</v>
      </c>
      <c r="D7" s="25">
        <v>1062.5999999999999</v>
      </c>
      <c r="F7" t="str">
        <f t="shared" si="1"/>
        <v>California</v>
      </c>
      <c r="G7" t="str">
        <f t="shared" si="2"/>
        <v>Butte County</v>
      </c>
      <c r="H7">
        <f t="shared" si="3"/>
        <v>35</v>
      </c>
      <c r="J7" t="str">
        <f t="shared" si="4"/>
        <v>California</v>
      </c>
      <c r="K7" t="str">
        <f t="shared" si="5"/>
        <v>Butte County</v>
      </c>
      <c r="L7">
        <f t="shared" si="6"/>
        <v>1062.5999999999999</v>
      </c>
    </row>
    <row r="8" spans="1:12" x14ac:dyDescent="0.25">
      <c r="A8" t="s">
        <v>19</v>
      </c>
      <c r="B8" t="s">
        <v>84</v>
      </c>
      <c r="C8" s="25">
        <v>12</v>
      </c>
      <c r="D8" s="25">
        <v>326.20000000000005</v>
      </c>
      <c r="F8" t="str">
        <f t="shared" si="1"/>
        <v>California</v>
      </c>
      <c r="G8" t="str">
        <f t="shared" si="2"/>
        <v>Calaveras County</v>
      </c>
      <c r="H8">
        <f t="shared" si="3"/>
        <v>12</v>
      </c>
      <c r="J8" t="str">
        <f t="shared" si="4"/>
        <v>California</v>
      </c>
      <c r="K8" t="str">
        <f t="shared" si="5"/>
        <v>Calaveras County</v>
      </c>
      <c r="L8">
        <f t="shared" si="6"/>
        <v>326.20000000000005</v>
      </c>
    </row>
    <row r="9" spans="1:12" x14ac:dyDescent="0.25">
      <c r="A9" t="s">
        <v>19</v>
      </c>
      <c r="B9" t="s">
        <v>1383</v>
      </c>
      <c r="C9" s="25">
        <v>4</v>
      </c>
      <c r="D9" s="25">
        <v>167.5</v>
      </c>
      <c r="F9" t="str">
        <f t="shared" si="1"/>
        <v>California</v>
      </c>
      <c r="G9" t="str">
        <f t="shared" si="2"/>
        <v>Colusa County</v>
      </c>
      <c r="H9">
        <f t="shared" si="3"/>
        <v>4</v>
      </c>
      <c r="J9" t="str">
        <f t="shared" si="4"/>
        <v>California</v>
      </c>
      <c r="K9" t="str">
        <f t="shared" si="5"/>
        <v>Colusa County</v>
      </c>
      <c r="L9">
        <f t="shared" si="6"/>
        <v>167.5</v>
      </c>
    </row>
    <row r="10" spans="1:12" x14ac:dyDescent="0.25">
      <c r="A10" t="s">
        <v>19</v>
      </c>
      <c r="B10" t="s">
        <v>24</v>
      </c>
      <c r="C10" s="25">
        <v>341</v>
      </c>
      <c r="D10" s="25">
        <v>16168.7</v>
      </c>
      <c r="F10" t="str">
        <f t="shared" si="1"/>
        <v>California</v>
      </c>
      <c r="G10" t="str">
        <f t="shared" si="2"/>
        <v>Contra Costa County</v>
      </c>
      <c r="H10">
        <f t="shared" si="3"/>
        <v>341</v>
      </c>
      <c r="J10" t="str">
        <f t="shared" si="4"/>
        <v>California</v>
      </c>
      <c r="K10" t="str">
        <f t="shared" si="5"/>
        <v>Contra Costa County</v>
      </c>
      <c r="L10">
        <f t="shared" si="6"/>
        <v>16168.7</v>
      </c>
    </row>
    <row r="11" spans="1:12" x14ac:dyDescent="0.25">
      <c r="A11" t="s">
        <v>19</v>
      </c>
      <c r="B11" t="s">
        <v>2204</v>
      </c>
      <c r="C11" s="25">
        <v>13</v>
      </c>
      <c r="D11" s="25">
        <v>322.40000000000003</v>
      </c>
      <c r="F11" t="str">
        <f t="shared" si="1"/>
        <v>California</v>
      </c>
      <c r="G11" t="str">
        <f t="shared" si="2"/>
        <v>Del Norte County</v>
      </c>
      <c r="H11">
        <f t="shared" si="3"/>
        <v>13</v>
      </c>
      <c r="J11" t="str">
        <f t="shared" si="4"/>
        <v>California</v>
      </c>
      <c r="K11" t="str">
        <f t="shared" si="5"/>
        <v>Del Norte County</v>
      </c>
      <c r="L11">
        <f t="shared" si="6"/>
        <v>322.40000000000003</v>
      </c>
    </row>
    <row r="12" spans="1:12" x14ac:dyDescent="0.25">
      <c r="A12" t="s">
        <v>19</v>
      </c>
      <c r="B12" t="s">
        <v>437</v>
      </c>
      <c r="C12" s="25">
        <v>31</v>
      </c>
      <c r="D12" s="25">
        <v>2092.8000000000002</v>
      </c>
      <c r="F12" t="str">
        <f t="shared" si="1"/>
        <v>California</v>
      </c>
      <c r="G12" t="str">
        <f t="shared" si="2"/>
        <v>El Dorado County</v>
      </c>
      <c r="H12">
        <f t="shared" si="3"/>
        <v>31</v>
      </c>
      <c r="J12" t="str">
        <f t="shared" si="4"/>
        <v>California</v>
      </c>
      <c r="K12" t="str">
        <f t="shared" si="5"/>
        <v>El Dorado County</v>
      </c>
      <c r="L12">
        <f t="shared" si="6"/>
        <v>2092.8000000000002</v>
      </c>
    </row>
    <row r="13" spans="1:12" x14ac:dyDescent="0.25">
      <c r="A13" t="s">
        <v>19</v>
      </c>
      <c r="B13" t="s">
        <v>28</v>
      </c>
      <c r="C13" s="25">
        <v>279</v>
      </c>
      <c r="D13" s="25">
        <v>12662.500000000002</v>
      </c>
      <c r="F13" t="str">
        <f t="shared" si="1"/>
        <v>California</v>
      </c>
      <c r="G13" t="str">
        <f t="shared" si="2"/>
        <v>Fresno County</v>
      </c>
      <c r="H13">
        <f t="shared" si="3"/>
        <v>279</v>
      </c>
      <c r="J13" t="str">
        <f t="shared" si="4"/>
        <v>California</v>
      </c>
      <c r="K13" t="str">
        <f t="shared" si="5"/>
        <v>Fresno County</v>
      </c>
      <c r="L13">
        <f t="shared" si="6"/>
        <v>12662.500000000002</v>
      </c>
    </row>
    <row r="14" spans="1:12" x14ac:dyDescent="0.25">
      <c r="A14" t="s">
        <v>19</v>
      </c>
      <c r="B14" t="s">
        <v>208</v>
      </c>
      <c r="C14" s="25">
        <v>9</v>
      </c>
      <c r="D14" s="25">
        <v>343.2</v>
      </c>
      <c r="F14" t="str">
        <f t="shared" si="1"/>
        <v>California</v>
      </c>
      <c r="G14" t="str">
        <f t="shared" si="2"/>
        <v>Glenn County</v>
      </c>
      <c r="H14">
        <f t="shared" si="3"/>
        <v>9</v>
      </c>
      <c r="J14" t="str">
        <f t="shared" si="4"/>
        <v>California</v>
      </c>
      <c r="K14" t="str">
        <f t="shared" si="5"/>
        <v>Glenn County</v>
      </c>
      <c r="L14">
        <f t="shared" si="6"/>
        <v>343.2</v>
      </c>
    </row>
    <row r="15" spans="1:12" x14ac:dyDescent="0.25">
      <c r="A15" t="s">
        <v>19</v>
      </c>
      <c r="B15" t="s">
        <v>587</v>
      </c>
      <c r="C15" s="25">
        <v>49</v>
      </c>
      <c r="D15" s="25">
        <v>2188.2999999999997</v>
      </c>
      <c r="F15" t="str">
        <f t="shared" si="1"/>
        <v>California</v>
      </c>
      <c r="G15" t="str">
        <f t="shared" si="2"/>
        <v>Humboldt County</v>
      </c>
      <c r="H15">
        <f t="shared" si="3"/>
        <v>49</v>
      </c>
      <c r="J15" t="str">
        <f t="shared" si="4"/>
        <v>California</v>
      </c>
      <c r="K15" t="str">
        <f t="shared" si="5"/>
        <v>Humboldt County</v>
      </c>
      <c r="L15">
        <f t="shared" si="6"/>
        <v>2188.2999999999997</v>
      </c>
    </row>
    <row r="16" spans="1:12" x14ac:dyDescent="0.25">
      <c r="A16" t="s">
        <v>19</v>
      </c>
      <c r="B16" t="s">
        <v>331</v>
      </c>
      <c r="C16" s="25">
        <v>59</v>
      </c>
      <c r="D16" s="25">
        <v>2661.5999999999995</v>
      </c>
      <c r="F16" t="str">
        <f t="shared" si="1"/>
        <v>California</v>
      </c>
      <c r="G16" t="str">
        <f t="shared" si="2"/>
        <v>Imperial County</v>
      </c>
      <c r="H16">
        <f t="shared" si="3"/>
        <v>59</v>
      </c>
      <c r="J16" t="str">
        <f t="shared" si="4"/>
        <v>California</v>
      </c>
      <c r="K16" t="str">
        <f t="shared" si="5"/>
        <v>Imperial County</v>
      </c>
      <c r="L16">
        <f t="shared" si="6"/>
        <v>2661.5999999999995</v>
      </c>
    </row>
    <row r="17" spans="1:12" x14ac:dyDescent="0.25">
      <c r="A17" t="s">
        <v>19</v>
      </c>
      <c r="B17" t="s">
        <v>86</v>
      </c>
      <c r="C17" s="25">
        <v>8</v>
      </c>
      <c r="D17" s="25">
        <v>887.5</v>
      </c>
      <c r="F17" t="str">
        <f t="shared" si="1"/>
        <v>California</v>
      </c>
      <c r="G17" t="str">
        <f t="shared" si="2"/>
        <v>Inyo County</v>
      </c>
      <c r="H17">
        <f t="shared" si="3"/>
        <v>8</v>
      </c>
      <c r="J17" t="str">
        <f t="shared" si="4"/>
        <v>California</v>
      </c>
      <c r="K17" t="str">
        <f t="shared" si="5"/>
        <v>Inyo County</v>
      </c>
      <c r="L17">
        <f t="shared" si="6"/>
        <v>887.5</v>
      </c>
    </row>
    <row r="18" spans="1:12" x14ac:dyDescent="0.25">
      <c r="A18" t="s">
        <v>19</v>
      </c>
      <c r="B18" t="s">
        <v>147</v>
      </c>
      <c r="C18" s="25">
        <v>222</v>
      </c>
      <c r="D18" s="25">
        <v>11354.199999999993</v>
      </c>
      <c r="F18" t="str">
        <f t="shared" si="1"/>
        <v>California</v>
      </c>
      <c r="G18" t="str">
        <f t="shared" si="2"/>
        <v>Kern County</v>
      </c>
      <c r="H18">
        <f t="shared" si="3"/>
        <v>222</v>
      </c>
      <c r="J18" t="str">
        <f t="shared" si="4"/>
        <v>California</v>
      </c>
      <c r="K18" t="str">
        <f t="shared" si="5"/>
        <v>Kern County</v>
      </c>
      <c r="L18">
        <f t="shared" si="6"/>
        <v>11354.199999999993</v>
      </c>
    </row>
    <row r="19" spans="1:12" x14ac:dyDescent="0.25">
      <c r="A19" t="s">
        <v>19</v>
      </c>
      <c r="B19" t="s">
        <v>334</v>
      </c>
      <c r="C19" s="25">
        <v>36</v>
      </c>
      <c r="D19" s="25">
        <v>1558.4</v>
      </c>
      <c r="F19" t="str">
        <f t="shared" si="1"/>
        <v>California</v>
      </c>
      <c r="G19" t="str">
        <f t="shared" si="2"/>
        <v>Kings County</v>
      </c>
      <c r="H19">
        <f t="shared" si="3"/>
        <v>36</v>
      </c>
      <c r="J19" t="str">
        <f t="shared" si="4"/>
        <v>California</v>
      </c>
      <c r="K19" t="str">
        <f t="shared" si="5"/>
        <v>Kings County</v>
      </c>
      <c r="L19">
        <f t="shared" si="6"/>
        <v>1558.4</v>
      </c>
    </row>
    <row r="20" spans="1:12" x14ac:dyDescent="0.25">
      <c r="A20" t="s">
        <v>19</v>
      </c>
      <c r="B20" t="s">
        <v>949</v>
      </c>
      <c r="C20" s="25">
        <v>30</v>
      </c>
      <c r="D20" s="25">
        <v>2223.9</v>
      </c>
      <c r="F20" t="str">
        <f t="shared" si="1"/>
        <v>California</v>
      </c>
      <c r="G20" t="str">
        <f t="shared" si="2"/>
        <v>Lake County</v>
      </c>
      <c r="H20">
        <f t="shared" si="3"/>
        <v>30</v>
      </c>
      <c r="J20" t="str">
        <f t="shared" si="4"/>
        <v>California</v>
      </c>
      <c r="K20" t="str">
        <f t="shared" si="5"/>
        <v>Lake County</v>
      </c>
      <c r="L20">
        <f t="shared" si="6"/>
        <v>2223.9</v>
      </c>
    </row>
    <row r="21" spans="1:12" x14ac:dyDescent="0.25">
      <c r="A21" t="s">
        <v>19</v>
      </c>
      <c r="B21" t="s">
        <v>1426</v>
      </c>
      <c r="C21" s="25">
        <v>1</v>
      </c>
      <c r="D21" s="25">
        <v>26.2</v>
      </c>
      <c r="F21" t="str">
        <f t="shared" si="1"/>
        <v>California</v>
      </c>
      <c r="G21" t="str">
        <f t="shared" si="2"/>
        <v>Lassen County</v>
      </c>
      <c r="H21">
        <f t="shared" si="3"/>
        <v>1</v>
      </c>
      <c r="J21" t="str">
        <f t="shared" si="4"/>
        <v>California</v>
      </c>
      <c r="K21" t="str">
        <f t="shared" si="5"/>
        <v>Lassen County</v>
      </c>
      <c r="L21">
        <f t="shared" si="6"/>
        <v>26.2</v>
      </c>
    </row>
    <row r="22" spans="1:12" x14ac:dyDescent="0.25">
      <c r="A22" t="s">
        <v>19</v>
      </c>
      <c r="B22" t="s">
        <v>33</v>
      </c>
      <c r="C22" s="25">
        <v>3991</v>
      </c>
      <c r="D22" s="25">
        <v>215551.19999999981</v>
      </c>
      <c r="F22" t="str">
        <f t="shared" si="1"/>
        <v>California</v>
      </c>
      <c r="G22" t="str">
        <f t="shared" si="2"/>
        <v>Los Angeles County</v>
      </c>
      <c r="H22">
        <f t="shared" si="3"/>
        <v>3991</v>
      </c>
      <c r="J22" t="str">
        <f t="shared" si="4"/>
        <v>California</v>
      </c>
      <c r="K22" t="str">
        <f t="shared" si="5"/>
        <v>Los Angeles County</v>
      </c>
      <c r="L22">
        <f t="shared" si="6"/>
        <v>215551.19999999981</v>
      </c>
    </row>
    <row r="23" spans="1:12" x14ac:dyDescent="0.25">
      <c r="A23" t="s">
        <v>19</v>
      </c>
      <c r="B23" t="s">
        <v>364</v>
      </c>
      <c r="C23" s="25">
        <v>45</v>
      </c>
      <c r="D23" s="25">
        <v>2687.3999999999996</v>
      </c>
      <c r="F23" t="str">
        <f t="shared" si="1"/>
        <v>California</v>
      </c>
      <c r="G23" t="str">
        <f t="shared" si="2"/>
        <v>Madera County</v>
      </c>
      <c r="H23">
        <f t="shared" si="3"/>
        <v>45</v>
      </c>
      <c r="J23" t="str">
        <f t="shared" si="4"/>
        <v>California</v>
      </c>
      <c r="K23" t="str">
        <f t="shared" si="5"/>
        <v>Madera County</v>
      </c>
      <c r="L23">
        <f t="shared" si="6"/>
        <v>2687.3999999999996</v>
      </c>
    </row>
    <row r="24" spans="1:12" x14ac:dyDescent="0.25">
      <c r="A24" t="s">
        <v>19</v>
      </c>
      <c r="B24" t="s">
        <v>545</v>
      </c>
      <c r="C24" s="25">
        <v>39</v>
      </c>
      <c r="D24" s="25">
        <v>1463.3000000000002</v>
      </c>
      <c r="F24" t="str">
        <f t="shared" si="1"/>
        <v>California</v>
      </c>
      <c r="G24" t="str">
        <f t="shared" si="2"/>
        <v>Marin County</v>
      </c>
      <c r="H24">
        <f t="shared" si="3"/>
        <v>39</v>
      </c>
      <c r="J24" t="str">
        <f t="shared" si="4"/>
        <v>California</v>
      </c>
      <c r="K24" t="str">
        <f t="shared" si="5"/>
        <v>Marin County</v>
      </c>
      <c r="L24">
        <f t="shared" si="6"/>
        <v>1463.3000000000002</v>
      </c>
    </row>
    <row r="25" spans="1:12" x14ac:dyDescent="0.25">
      <c r="A25" t="s">
        <v>19</v>
      </c>
      <c r="B25" t="s">
        <v>416</v>
      </c>
      <c r="C25" s="25">
        <v>6</v>
      </c>
      <c r="D25" s="25">
        <v>445.79999999999995</v>
      </c>
      <c r="F25" t="str">
        <f t="shared" ref="F25:F61" si="7">A25</f>
        <v>California</v>
      </c>
      <c r="G25" t="str">
        <f t="shared" ref="G25:G61" si="8">B25</f>
        <v>Mariposa County</v>
      </c>
      <c r="H25">
        <f t="shared" ref="H25:H61" si="9">C25</f>
        <v>6</v>
      </c>
      <c r="J25" t="str">
        <f>A25</f>
        <v>California</v>
      </c>
      <c r="K25" t="str">
        <f>B25</f>
        <v>Mariposa County</v>
      </c>
      <c r="L25">
        <f>D25</f>
        <v>445.79999999999995</v>
      </c>
    </row>
    <row r="26" spans="1:12" x14ac:dyDescent="0.25">
      <c r="A26" t="s">
        <v>19</v>
      </c>
      <c r="B26" t="s">
        <v>258</v>
      </c>
      <c r="C26" s="25">
        <v>9</v>
      </c>
      <c r="D26" s="25">
        <v>273.59999999999997</v>
      </c>
      <c r="F26" t="str">
        <f t="shared" si="7"/>
        <v>California</v>
      </c>
      <c r="G26" t="str">
        <f t="shared" si="8"/>
        <v>Mendocino County</v>
      </c>
      <c r="H26">
        <f t="shared" si="9"/>
        <v>9</v>
      </c>
      <c r="J26" t="str">
        <f t="shared" ref="J26:J45" si="10">A26</f>
        <v>California</v>
      </c>
      <c r="K26" t="str">
        <f t="shared" ref="K26:K45" si="11">B26</f>
        <v>Mendocino County</v>
      </c>
      <c r="L26">
        <f t="shared" ref="L26:L45" si="12">D26</f>
        <v>273.59999999999997</v>
      </c>
    </row>
    <row r="27" spans="1:12" x14ac:dyDescent="0.25">
      <c r="A27" t="s">
        <v>19</v>
      </c>
      <c r="B27" t="s">
        <v>186</v>
      </c>
      <c r="C27" s="25">
        <v>60</v>
      </c>
      <c r="D27" s="25">
        <v>2690.4</v>
      </c>
      <c r="F27" t="str">
        <f t="shared" si="7"/>
        <v>California</v>
      </c>
      <c r="G27" t="str">
        <f t="shared" si="8"/>
        <v>Merced County</v>
      </c>
      <c r="H27">
        <f t="shared" si="9"/>
        <v>60</v>
      </c>
      <c r="J27" t="str">
        <f t="shared" si="10"/>
        <v>California</v>
      </c>
      <c r="K27" t="str">
        <f t="shared" si="11"/>
        <v>Merced County</v>
      </c>
      <c r="L27">
        <f t="shared" si="12"/>
        <v>2690.4</v>
      </c>
    </row>
    <row r="28" spans="1:12" x14ac:dyDescent="0.25">
      <c r="A28" t="s">
        <v>19</v>
      </c>
      <c r="B28" t="s">
        <v>392</v>
      </c>
      <c r="C28" s="25">
        <v>2</v>
      </c>
      <c r="D28" s="25">
        <v>28.4</v>
      </c>
      <c r="F28" t="str">
        <f t="shared" si="7"/>
        <v>California</v>
      </c>
      <c r="G28" t="str">
        <f t="shared" si="8"/>
        <v>Modoc County</v>
      </c>
      <c r="H28">
        <f t="shared" si="9"/>
        <v>2</v>
      </c>
      <c r="J28" t="str">
        <f t="shared" si="10"/>
        <v>California</v>
      </c>
      <c r="K28" t="str">
        <f t="shared" si="11"/>
        <v>Modoc County</v>
      </c>
      <c r="L28">
        <f t="shared" si="12"/>
        <v>28.4</v>
      </c>
    </row>
    <row r="29" spans="1:12" x14ac:dyDescent="0.25">
      <c r="A29" t="s">
        <v>19</v>
      </c>
      <c r="B29" t="s">
        <v>670</v>
      </c>
      <c r="C29" s="25">
        <v>4</v>
      </c>
      <c r="D29" s="25">
        <v>204.8</v>
      </c>
      <c r="F29" t="str">
        <f t="shared" si="7"/>
        <v>California</v>
      </c>
      <c r="G29" t="str">
        <f t="shared" si="8"/>
        <v>Mono County</v>
      </c>
      <c r="H29">
        <f t="shared" si="9"/>
        <v>4</v>
      </c>
      <c r="J29" t="str">
        <f t="shared" si="10"/>
        <v>California</v>
      </c>
      <c r="K29" t="str">
        <f t="shared" si="11"/>
        <v>Mono County</v>
      </c>
      <c r="L29">
        <f t="shared" si="12"/>
        <v>204.8</v>
      </c>
    </row>
    <row r="30" spans="1:12" x14ac:dyDescent="0.25">
      <c r="A30" t="s">
        <v>19</v>
      </c>
      <c r="B30" t="s">
        <v>802</v>
      </c>
      <c r="C30" s="25">
        <v>31</v>
      </c>
      <c r="D30" s="25">
        <v>1607.8999999999999</v>
      </c>
      <c r="F30" t="str">
        <f t="shared" si="7"/>
        <v>California</v>
      </c>
      <c r="G30" t="str">
        <f t="shared" si="8"/>
        <v>Monterey County</v>
      </c>
      <c r="H30">
        <f t="shared" si="9"/>
        <v>31</v>
      </c>
      <c r="J30" t="str">
        <f t="shared" si="10"/>
        <v>California</v>
      </c>
      <c r="K30" t="str">
        <f t="shared" si="11"/>
        <v>Monterey County</v>
      </c>
      <c r="L30">
        <f t="shared" si="12"/>
        <v>1607.8999999999999</v>
      </c>
    </row>
    <row r="31" spans="1:12" x14ac:dyDescent="0.25">
      <c r="A31" t="s">
        <v>19</v>
      </c>
      <c r="B31" t="s">
        <v>98</v>
      </c>
      <c r="C31" s="25">
        <v>88</v>
      </c>
      <c r="D31" s="25">
        <v>6444.9</v>
      </c>
      <c r="F31" t="str">
        <f t="shared" si="7"/>
        <v>California</v>
      </c>
      <c r="G31" t="str">
        <f t="shared" si="8"/>
        <v>Napa County</v>
      </c>
      <c r="H31">
        <f t="shared" si="9"/>
        <v>88</v>
      </c>
      <c r="J31" t="str">
        <f t="shared" si="10"/>
        <v>California</v>
      </c>
      <c r="K31" t="str">
        <f t="shared" si="11"/>
        <v>Napa County</v>
      </c>
      <c r="L31">
        <f t="shared" si="12"/>
        <v>6444.9</v>
      </c>
    </row>
    <row r="32" spans="1:12" x14ac:dyDescent="0.25">
      <c r="A32" t="s">
        <v>19</v>
      </c>
      <c r="B32" t="s">
        <v>49</v>
      </c>
      <c r="C32" s="25">
        <v>25</v>
      </c>
      <c r="D32" s="25">
        <v>1809.3</v>
      </c>
      <c r="F32" t="str">
        <f t="shared" si="7"/>
        <v>California</v>
      </c>
      <c r="G32" t="str">
        <f t="shared" si="8"/>
        <v>Nevada County</v>
      </c>
      <c r="H32">
        <f t="shared" si="9"/>
        <v>25</v>
      </c>
      <c r="J32" t="str">
        <f t="shared" si="10"/>
        <v>California</v>
      </c>
      <c r="K32" t="str">
        <f t="shared" si="11"/>
        <v>Nevada County</v>
      </c>
      <c r="L32">
        <f t="shared" si="12"/>
        <v>1809.3</v>
      </c>
    </row>
    <row r="33" spans="1:12" x14ac:dyDescent="0.25">
      <c r="A33" t="s">
        <v>19</v>
      </c>
      <c r="B33" t="s">
        <v>188</v>
      </c>
      <c r="C33" s="25">
        <v>178</v>
      </c>
      <c r="D33" s="25">
        <v>9680.399999999996</v>
      </c>
      <c r="F33" t="str">
        <f t="shared" si="7"/>
        <v>California</v>
      </c>
      <c r="G33" t="str">
        <f t="shared" si="8"/>
        <v>Orange County</v>
      </c>
      <c r="H33">
        <f t="shared" si="9"/>
        <v>178</v>
      </c>
      <c r="J33" t="str">
        <f t="shared" si="10"/>
        <v>California</v>
      </c>
      <c r="K33" t="str">
        <f t="shared" si="11"/>
        <v>Orange County</v>
      </c>
      <c r="L33">
        <f t="shared" si="12"/>
        <v>9680.399999999996</v>
      </c>
    </row>
    <row r="34" spans="1:12" x14ac:dyDescent="0.25">
      <c r="A34" t="s">
        <v>19</v>
      </c>
      <c r="B34" t="s">
        <v>52</v>
      </c>
      <c r="C34" s="25">
        <v>141</v>
      </c>
      <c r="D34" s="25">
        <v>9414.7999999999993</v>
      </c>
      <c r="F34" t="str">
        <f t="shared" si="7"/>
        <v>California</v>
      </c>
      <c r="G34" t="str">
        <f t="shared" si="8"/>
        <v>Placer County</v>
      </c>
      <c r="H34">
        <f t="shared" si="9"/>
        <v>141</v>
      </c>
      <c r="J34" t="str">
        <f t="shared" si="10"/>
        <v>California</v>
      </c>
      <c r="K34" t="str">
        <f t="shared" si="11"/>
        <v>Placer County</v>
      </c>
      <c r="L34">
        <f t="shared" si="12"/>
        <v>9414.7999999999993</v>
      </c>
    </row>
    <row r="35" spans="1:12" x14ac:dyDescent="0.25">
      <c r="A35" t="s">
        <v>19</v>
      </c>
      <c r="B35" t="s">
        <v>338</v>
      </c>
      <c r="C35" s="25">
        <v>6</v>
      </c>
      <c r="D35" s="25">
        <v>206.1</v>
      </c>
      <c r="F35" t="str">
        <f t="shared" si="7"/>
        <v>California</v>
      </c>
      <c r="G35" t="str">
        <f t="shared" si="8"/>
        <v>Plumas County</v>
      </c>
      <c r="H35">
        <f t="shared" si="9"/>
        <v>6</v>
      </c>
      <c r="J35" t="str">
        <f t="shared" si="10"/>
        <v>California</v>
      </c>
      <c r="K35" t="str">
        <f t="shared" si="11"/>
        <v>Plumas County</v>
      </c>
      <c r="L35">
        <f t="shared" si="12"/>
        <v>206.1</v>
      </c>
    </row>
    <row r="36" spans="1:12" x14ac:dyDescent="0.25">
      <c r="A36" t="s">
        <v>19</v>
      </c>
      <c r="B36" t="s">
        <v>158</v>
      </c>
      <c r="C36" s="25">
        <v>178</v>
      </c>
      <c r="D36" s="25">
        <v>7691.3</v>
      </c>
      <c r="F36" t="str">
        <f t="shared" si="7"/>
        <v>California</v>
      </c>
      <c r="G36" t="str">
        <f t="shared" si="8"/>
        <v>Riverside County</v>
      </c>
      <c r="H36">
        <f t="shared" si="9"/>
        <v>178</v>
      </c>
      <c r="J36" t="str">
        <f t="shared" si="10"/>
        <v>California</v>
      </c>
      <c r="K36" t="str">
        <f t="shared" si="11"/>
        <v>Riverside County</v>
      </c>
      <c r="L36">
        <f t="shared" si="12"/>
        <v>7691.3</v>
      </c>
    </row>
    <row r="37" spans="1:12" x14ac:dyDescent="0.25">
      <c r="A37" t="s">
        <v>19</v>
      </c>
      <c r="B37" t="s">
        <v>55</v>
      </c>
      <c r="C37" s="25">
        <v>699</v>
      </c>
      <c r="D37" s="25">
        <v>37784.900000000016</v>
      </c>
      <c r="F37" t="str">
        <f t="shared" si="7"/>
        <v>California</v>
      </c>
      <c r="G37" t="str">
        <f t="shared" si="8"/>
        <v>Sacramento County</v>
      </c>
      <c r="H37">
        <f t="shared" si="9"/>
        <v>699</v>
      </c>
      <c r="J37" t="str">
        <f t="shared" si="10"/>
        <v>California</v>
      </c>
      <c r="K37" t="str">
        <f t="shared" si="11"/>
        <v>Sacramento County</v>
      </c>
      <c r="L37">
        <f t="shared" si="12"/>
        <v>37784.900000000016</v>
      </c>
    </row>
    <row r="38" spans="1:12" x14ac:dyDescent="0.25">
      <c r="A38" t="s">
        <v>19</v>
      </c>
      <c r="B38" t="s">
        <v>342</v>
      </c>
      <c r="C38" s="25">
        <v>23</v>
      </c>
      <c r="D38" s="25">
        <v>1129.7</v>
      </c>
      <c r="F38" t="str">
        <f t="shared" si="7"/>
        <v>California</v>
      </c>
      <c r="G38" t="str">
        <f t="shared" si="8"/>
        <v>San Benito County</v>
      </c>
      <c r="H38">
        <f t="shared" si="9"/>
        <v>23</v>
      </c>
      <c r="J38" t="str">
        <f t="shared" si="10"/>
        <v>California</v>
      </c>
      <c r="K38" t="str">
        <f t="shared" si="11"/>
        <v>San Benito County</v>
      </c>
      <c r="L38">
        <f t="shared" si="12"/>
        <v>1129.7</v>
      </c>
    </row>
    <row r="39" spans="1:12" x14ac:dyDescent="0.25">
      <c r="A39" t="s">
        <v>19</v>
      </c>
      <c r="B39" t="s">
        <v>59</v>
      </c>
      <c r="C39" s="25">
        <v>356</v>
      </c>
      <c r="D39" s="25">
        <v>20988.9</v>
      </c>
      <c r="F39" t="str">
        <f t="shared" si="7"/>
        <v>California</v>
      </c>
      <c r="G39" t="str">
        <f t="shared" si="8"/>
        <v>San Bernardino County</v>
      </c>
      <c r="H39">
        <f t="shared" si="9"/>
        <v>356</v>
      </c>
      <c r="J39" t="str">
        <f t="shared" si="10"/>
        <v>California</v>
      </c>
      <c r="K39" t="str">
        <f t="shared" si="11"/>
        <v>San Bernardino County</v>
      </c>
      <c r="L39">
        <f t="shared" si="12"/>
        <v>20988.9</v>
      </c>
    </row>
    <row r="40" spans="1:12" x14ac:dyDescent="0.25">
      <c r="A40" t="s">
        <v>19</v>
      </c>
      <c r="B40" t="s">
        <v>62</v>
      </c>
      <c r="C40" s="25">
        <v>1768</v>
      </c>
      <c r="D40" s="25">
        <v>98367.099999999977</v>
      </c>
      <c r="F40" t="str">
        <f t="shared" si="7"/>
        <v>California</v>
      </c>
      <c r="G40" t="str">
        <f t="shared" si="8"/>
        <v>San Diego County</v>
      </c>
      <c r="H40">
        <f t="shared" si="9"/>
        <v>1768</v>
      </c>
      <c r="J40" t="str">
        <f t="shared" si="10"/>
        <v>California</v>
      </c>
      <c r="K40" t="str">
        <f t="shared" si="11"/>
        <v>San Diego County</v>
      </c>
      <c r="L40">
        <f t="shared" si="12"/>
        <v>98367.099999999977</v>
      </c>
    </row>
    <row r="41" spans="1:12" x14ac:dyDescent="0.25">
      <c r="A41" t="s">
        <v>19</v>
      </c>
      <c r="B41" t="s">
        <v>103</v>
      </c>
      <c r="C41" s="25">
        <v>307</v>
      </c>
      <c r="D41" s="25">
        <v>21911.9</v>
      </c>
      <c r="F41" t="str">
        <f t="shared" si="7"/>
        <v>California</v>
      </c>
      <c r="G41" t="str">
        <f t="shared" si="8"/>
        <v>San Francisco</v>
      </c>
      <c r="H41">
        <f t="shared" si="9"/>
        <v>307</v>
      </c>
      <c r="J41" t="str">
        <f t="shared" si="10"/>
        <v>California</v>
      </c>
      <c r="K41" t="str">
        <f t="shared" si="11"/>
        <v>San Francisco</v>
      </c>
      <c r="L41">
        <f t="shared" si="12"/>
        <v>21911.9</v>
      </c>
    </row>
    <row r="42" spans="1:12" x14ac:dyDescent="0.25">
      <c r="A42" t="s">
        <v>19</v>
      </c>
      <c r="B42" t="s">
        <v>201</v>
      </c>
      <c r="C42" s="25">
        <v>117</v>
      </c>
      <c r="D42" s="25">
        <v>5441.2</v>
      </c>
      <c r="F42" t="str">
        <f t="shared" si="7"/>
        <v>California</v>
      </c>
      <c r="G42" t="str">
        <f t="shared" si="8"/>
        <v>San Joaquin County</v>
      </c>
      <c r="H42">
        <f t="shared" si="9"/>
        <v>117</v>
      </c>
      <c r="J42" t="str">
        <f t="shared" si="10"/>
        <v>California</v>
      </c>
      <c r="K42" t="str">
        <f t="shared" si="11"/>
        <v>San Joaquin County</v>
      </c>
      <c r="L42">
        <f t="shared" si="12"/>
        <v>5441.2</v>
      </c>
    </row>
    <row r="43" spans="1:12" x14ac:dyDescent="0.25">
      <c r="A43" t="s">
        <v>19</v>
      </c>
      <c r="B43" t="s">
        <v>429</v>
      </c>
      <c r="C43" s="25">
        <v>13</v>
      </c>
      <c r="D43" s="25">
        <v>392.8</v>
      </c>
      <c r="F43" t="str">
        <f t="shared" si="7"/>
        <v>California</v>
      </c>
      <c r="G43" t="str">
        <f t="shared" si="8"/>
        <v>San Luis Obispo County</v>
      </c>
      <c r="H43">
        <f t="shared" si="9"/>
        <v>13</v>
      </c>
      <c r="J43" t="str">
        <f t="shared" si="10"/>
        <v>California</v>
      </c>
      <c r="K43" t="str">
        <f t="shared" si="11"/>
        <v>San Luis Obispo County</v>
      </c>
      <c r="L43">
        <f t="shared" si="12"/>
        <v>392.8</v>
      </c>
    </row>
    <row r="44" spans="1:12" x14ac:dyDescent="0.25">
      <c r="A44" t="s">
        <v>19</v>
      </c>
      <c r="B44" t="s">
        <v>72</v>
      </c>
      <c r="C44" s="25">
        <v>364</v>
      </c>
      <c r="D44" s="25">
        <v>16172.000000000005</v>
      </c>
      <c r="F44" t="str">
        <f t="shared" si="7"/>
        <v>California</v>
      </c>
      <c r="G44" t="str">
        <f t="shared" si="8"/>
        <v>San Mateo County</v>
      </c>
      <c r="H44">
        <f t="shared" si="9"/>
        <v>364</v>
      </c>
      <c r="J44" t="str">
        <f t="shared" si="10"/>
        <v>California</v>
      </c>
      <c r="K44" t="str">
        <f t="shared" si="11"/>
        <v>San Mateo County</v>
      </c>
      <c r="L44">
        <f t="shared" si="12"/>
        <v>16172.000000000005</v>
      </c>
    </row>
    <row r="45" spans="1:12" x14ac:dyDescent="0.25">
      <c r="A45" t="s">
        <v>19</v>
      </c>
      <c r="B45" t="s">
        <v>74</v>
      </c>
      <c r="C45" s="25">
        <v>95</v>
      </c>
      <c r="D45" s="25">
        <v>4334.9999999999991</v>
      </c>
      <c r="F45" t="str">
        <f t="shared" si="7"/>
        <v>California</v>
      </c>
      <c r="G45" t="str">
        <f t="shared" si="8"/>
        <v>Santa Barbara County</v>
      </c>
      <c r="H45">
        <f t="shared" si="9"/>
        <v>95</v>
      </c>
      <c r="J45" t="str">
        <f t="shared" si="10"/>
        <v>California</v>
      </c>
      <c r="K45" t="str">
        <f t="shared" si="11"/>
        <v>Santa Barbara County</v>
      </c>
      <c r="L45">
        <f t="shared" si="12"/>
        <v>4334.9999999999991</v>
      </c>
    </row>
    <row r="46" spans="1:12" x14ac:dyDescent="0.25">
      <c r="A46" t="s">
        <v>19</v>
      </c>
      <c r="B46" t="s">
        <v>77</v>
      </c>
      <c r="C46" s="25">
        <v>737</v>
      </c>
      <c r="D46" s="25">
        <v>37449.000000000007</v>
      </c>
      <c r="F46" t="str">
        <f t="shared" si="7"/>
        <v>California</v>
      </c>
      <c r="G46" t="str">
        <f t="shared" si="8"/>
        <v>Santa Clara County</v>
      </c>
      <c r="H46">
        <f t="shared" si="9"/>
        <v>737</v>
      </c>
      <c r="J46" t="str">
        <f>A46</f>
        <v>California</v>
      </c>
      <c r="K46" t="str">
        <f>B46</f>
        <v>Santa Clara County</v>
      </c>
      <c r="L46">
        <f>D46</f>
        <v>37449.000000000007</v>
      </c>
    </row>
    <row r="47" spans="1:12" x14ac:dyDescent="0.25">
      <c r="A47" t="s">
        <v>19</v>
      </c>
      <c r="B47" t="s">
        <v>309</v>
      </c>
      <c r="C47" s="25">
        <v>39</v>
      </c>
      <c r="D47" s="25">
        <v>2447.5</v>
      </c>
      <c r="F47" t="str">
        <f t="shared" si="7"/>
        <v>California</v>
      </c>
      <c r="G47" t="str">
        <f t="shared" si="8"/>
        <v>Santa Cruz County</v>
      </c>
      <c r="H47">
        <f t="shared" si="9"/>
        <v>39</v>
      </c>
      <c r="J47" t="str">
        <f t="shared" ref="J47:J58" si="13">A47</f>
        <v>California</v>
      </c>
      <c r="K47" t="str">
        <f t="shared" ref="K47:K58" si="14">B47</f>
        <v>Santa Cruz County</v>
      </c>
      <c r="L47">
        <f t="shared" ref="L47:L58" si="15">D47</f>
        <v>2447.5</v>
      </c>
    </row>
    <row r="48" spans="1:12" x14ac:dyDescent="0.25">
      <c r="A48" t="s">
        <v>19</v>
      </c>
      <c r="B48" t="s">
        <v>1116</v>
      </c>
      <c r="C48" s="25">
        <v>56</v>
      </c>
      <c r="D48" s="25">
        <v>3391.1</v>
      </c>
      <c r="F48" t="str">
        <f t="shared" si="7"/>
        <v>California</v>
      </c>
      <c r="G48" t="str">
        <f t="shared" si="8"/>
        <v>Shasta County</v>
      </c>
      <c r="H48">
        <f t="shared" si="9"/>
        <v>56</v>
      </c>
      <c r="J48" t="str">
        <f t="shared" si="13"/>
        <v>California</v>
      </c>
      <c r="K48" t="str">
        <f t="shared" si="14"/>
        <v>Shasta County</v>
      </c>
      <c r="L48">
        <f t="shared" si="15"/>
        <v>3391.1</v>
      </c>
    </row>
    <row r="49" spans="1:12" x14ac:dyDescent="0.25">
      <c r="A49" t="s">
        <v>19</v>
      </c>
      <c r="B49" t="s">
        <v>700</v>
      </c>
      <c r="C49" s="25">
        <v>2</v>
      </c>
      <c r="D49" s="25">
        <v>30.8</v>
      </c>
      <c r="F49" t="str">
        <f t="shared" si="7"/>
        <v>California</v>
      </c>
      <c r="G49" t="str">
        <f t="shared" si="8"/>
        <v>Sierra County</v>
      </c>
      <c r="H49">
        <f t="shared" si="9"/>
        <v>2</v>
      </c>
      <c r="J49" t="str">
        <f t="shared" si="13"/>
        <v>California</v>
      </c>
      <c r="K49" t="str">
        <f t="shared" si="14"/>
        <v>Sierra County</v>
      </c>
      <c r="L49">
        <f t="shared" si="15"/>
        <v>30.8</v>
      </c>
    </row>
    <row r="50" spans="1:12" x14ac:dyDescent="0.25">
      <c r="A50" t="s">
        <v>19</v>
      </c>
      <c r="B50" t="s">
        <v>268</v>
      </c>
      <c r="C50" s="25">
        <v>8</v>
      </c>
      <c r="D50" s="25">
        <v>332.3</v>
      </c>
      <c r="F50" t="str">
        <f t="shared" si="7"/>
        <v>California</v>
      </c>
      <c r="G50" t="str">
        <f t="shared" si="8"/>
        <v>Siskiyou County</v>
      </c>
      <c r="H50">
        <f t="shared" si="9"/>
        <v>8</v>
      </c>
      <c r="J50" t="str">
        <f t="shared" si="13"/>
        <v>California</v>
      </c>
      <c r="K50" t="str">
        <f t="shared" si="14"/>
        <v>Siskiyou County</v>
      </c>
      <c r="L50">
        <f t="shared" si="15"/>
        <v>332.3</v>
      </c>
    </row>
    <row r="51" spans="1:12" x14ac:dyDescent="0.25">
      <c r="A51" t="s">
        <v>19</v>
      </c>
      <c r="B51" t="s">
        <v>377</v>
      </c>
      <c r="C51" s="25">
        <v>52</v>
      </c>
      <c r="D51" s="25">
        <v>3175.9999999999995</v>
      </c>
      <c r="F51" t="str">
        <f t="shared" si="7"/>
        <v>California</v>
      </c>
      <c r="G51" t="str">
        <f t="shared" si="8"/>
        <v>Solano County</v>
      </c>
      <c r="H51">
        <f t="shared" si="9"/>
        <v>52</v>
      </c>
      <c r="J51" t="str">
        <f t="shared" si="13"/>
        <v>California</v>
      </c>
      <c r="K51" t="str">
        <f t="shared" si="14"/>
        <v>Solano County</v>
      </c>
      <c r="L51">
        <f t="shared" si="15"/>
        <v>3175.9999999999995</v>
      </c>
    </row>
    <row r="52" spans="1:12" x14ac:dyDescent="0.25">
      <c r="A52" t="s">
        <v>19</v>
      </c>
      <c r="B52" t="s">
        <v>108</v>
      </c>
      <c r="C52" s="25">
        <v>295</v>
      </c>
      <c r="D52" s="25">
        <v>20939.600000000002</v>
      </c>
      <c r="F52" t="str">
        <f t="shared" si="7"/>
        <v>California</v>
      </c>
      <c r="G52" t="str">
        <f t="shared" si="8"/>
        <v>Sonoma County</v>
      </c>
      <c r="H52">
        <f t="shared" si="9"/>
        <v>295</v>
      </c>
      <c r="J52" t="str">
        <f t="shared" si="13"/>
        <v>California</v>
      </c>
      <c r="K52" t="str">
        <f t="shared" si="14"/>
        <v>Sonoma County</v>
      </c>
      <c r="L52">
        <f t="shared" si="15"/>
        <v>20939.600000000002</v>
      </c>
    </row>
    <row r="53" spans="1:12" x14ac:dyDescent="0.25">
      <c r="A53" t="s">
        <v>19</v>
      </c>
      <c r="B53" t="s">
        <v>110</v>
      </c>
      <c r="C53" s="25">
        <v>195</v>
      </c>
      <c r="D53" s="25">
        <v>10185.899999999996</v>
      </c>
      <c r="F53" t="str">
        <f t="shared" si="7"/>
        <v>California</v>
      </c>
      <c r="G53" t="str">
        <f t="shared" si="8"/>
        <v>Stanislaus County</v>
      </c>
      <c r="H53">
        <f t="shared" si="9"/>
        <v>195</v>
      </c>
      <c r="J53" t="str">
        <f t="shared" si="13"/>
        <v>California</v>
      </c>
      <c r="K53" t="str">
        <f t="shared" si="14"/>
        <v>Stanislaus County</v>
      </c>
      <c r="L53">
        <f t="shared" si="15"/>
        <v>10185.899999999996</v>
      </c>
    </row>
    <row r="54" spans="1:12" x14ac:dyDescent="0.25">
      <c r="A54" t="s">
        <v>19</v>
      </c>
      <c r="B54" t="s">
        <v>292</v>
      </c>
      <c r="C54" s="25">
        <v>20</v>
      </c>
      <c r="D54" s="25">
        <v>958.7</v>
      </c>
      <c r="F54" t="str">
        <f t="shared" si="7"/>
        <v>California</v>
      </c>
      <c r="G54" t="str">
        <f t="shared" si="8"/>
        <v>Sutter County</v>
      </c>
      <c r="H54">
        <f t="shared" si="9"/>
        <v>20</v>
      </c>
      <c r="J54" t="str">
        <f t="shared" si="13"/>
        <v>California</v>
      </c>
      <c r="K54" t="str">
        <f t="shared" si="14"/>
        <v>Sutter County</v>
      </c>
      <c r="L54">
        <f t="shared" si="15"/>
        <v>958.7</v>
      </c>
    </row>
    <row r="55" spans="1:12" x14ac:dyDescent="0.25">
      <c r="A55" t="s">
        <v>19</v>
      </c>
      <c r="B55" t="s">
        <v>79</v>
      </c>
      <c r="C55" s="25">
        <v>6</v>
      </c>
      <c r="D55" s="25">
        <v>323</v>
      </c>
      <c r="F55" t="str">
        <f t="shared" si="7"/>
        <v>California</v>
      </c>
      <c r="G55" t="str">
        <f t="shared" si="8"/>
        <v>Tehama County</v>
      </c>
      <c r="H55">
        <f t="shared" si="9"/>
        <v>6</v>
      </c>
      <c r="J55" t="str">
        <f t="shared" si="13"/>
        <v>California</v>
      </c>
      <c r="K55" t="str">
        <f t="shared" si="14"/>
        <v>Tehama County</v>
      </c>
      <c r="L55">
        <f t="shared" si="15"/>
        <v>323</v>
      </c>
    </row>
    <row r="56" spans="1:12" x14ac:dyDescent="0.25">
      <c r="A56" t="s">
        <v>19</v>
      </c>
      <c r="B56" t="s">
        <v>608</v>
      </c>
      <c r="C56" s="25">
        <v>5</v>
      </c>
      <c r="D56" s="25">
        <v>167.70000000000002</v>
      </c>
      <c r="F56" t="str">
        <f t="shared" si="7"/>
        <v>California</v>
      </c>
      <c r="G56" t="str">
        <f t="shared" si="8"/>
        <v>Trinity County</v>
      </c>
      <c r="H56">
        <f t="shared" si="9"/>
        <v>5</v>
      </c>
      <c r="J56" t="str">
        <f t="shared" si="13"/>
        <v>California</v>
      </c>
      <c r="K56" t="str">
        <f t="shared" si="14"/>
        <v>Trinity County</v>
      </c>
      <c r="L56">
        <f t="shared" si="15"/>
        <v>167.70000000000002</v>
      </c>
    </row>
    <row r="57" spans="1:12" x14ac:dyDescent="0.25">
      <c r="A57" t="s">
        <v>19</v>
      </c>
      <c r="B57" t="s">
        <v>113</v>
      </c>
      <c r="C57" s="25">
        <v>94</v>
      </c>
      <c r="D57" s="25">
        <v>3978.5</v>
      </c>
      <c r="F57" t="str">
        <f t="shared" si="7"/>
        <v>California</v>
      </c>
      <c r="G57" t="str">
        <f t="shared" si="8"/>
        <v>Tulare County</v>
      </c>
      <c r="H57">
        <f t="shared" si="9"/>
        <v>94</v>
      </c>
      <c r="J57" t="str">
        <f t="shared" si="13"/>
        <v>California</v>
      </c>
      <c r="K57" t="str">
        <f t="shared" si="14"/>
        <v>Tulare County</v>
      </c>
      <c r="L57">
        <f t="shared" si="15"/>
        <v>3978.5</v>
      </c>
    </row>
    <row r="58" spans="1:12" x14ac:dyDescent="0.25">
      <c r="A58" t="s">
        <v>19</v>
      </c>
      <c r="B58" t="s">
        <v>997</v>
      </c>
      <c r="C58" s="25">
        <v>28</v>
      </c>
      <c r="D58" s="25">
        <v>1405</v>
      </c>
      <c r="F58" t="str">
        <f t="shared" si="7"/>
        <v>California</v>
      </c>
      <c r="G58" t="str">
        <f t="shared" si="8"/>
        <v>Tuolumne County</v>
      </c>
      <c r="H58">
        <f t="shared" si="9"/>
        <v>28</v>
      </c>
      <c r="J58" t="str">
        <f t="shared" si="13"/>
        <v>California</v>
      </c>
      <c r="K58" t="str">
        <f t="shared" si="14"/>
        <v>Tuolumne County</v>
      </c>
      <c r="L58">
        <f t="shared" si="15"/>
        <v>1405</v>
      </c>
    </row>
    <row r="59" spans="1:12" x14ac:dyDescent="0.25">
      <c r="A59" t="s">
        <v>19</v>
      </c>
      <c r="B59" t="s">
        <v>82</v>
      </c>
      <c r="C59" s="25">
        <v>179</v>
      </c>
      <c r="D59" s="25">
        <v>9869.0999999999985</v>
      </c>
      <c r="F59" t="str">
        <f t="shared" si="7"/>
        <v>California</v>
      </c>
      <c r="G59" t="str">
        <f t="shared" si="8"/>
        <v>Ventura County</v>
      </c>
      <c r="H59">
        <f t="shared" si="9"/>
        <v>179</v>
      </c>
      <c r="J59" t="str">
        <f>A59</f>
        <v>California</v>
      </c>
      <c r="K59" t="str">
        <f>B59</f>
        <v>Ventura County</v>
      </c>
      <c r="L59">
        <f>D59</f>
        <v>9869.0999999999985</v>
      </c>
    </row>
    <row r="60" spans="1:12" x14ac:dyDescent="0.25">
      <c r="A60" t="s">
        <v>19</v>
      </c>
      <c r="B60" t="s">
        <v>243</v>
      </c>
      <c r="C60" s="25">
        <v>15</v>
      </c>
      <c r="D60" s="25">
        <v>615.29999999999995</v>
      </c>
      <c r="F60" t="str">
        <f t="shared" si="7"/>
        <v>California</v>
      </c>
      <c r="G60" t="str">
        <f t="shared" si="8"/>
        <v>Yolo County</v>
      </c>
      <c r="H60">
        <f t="shared" si="9"/>
        <v>15</v>
      </c>
      <c r="J60" t="str">
        <f t="shared" ref="J60:J61" si="16">A60</f>
        <v>California</v>
      </c>
      <c r="K60" t="str">
        <f t="shared" ref="K60:K61" si="17">B60</f>
        <v>Yolo County</v>
      </c>
      <c r="L60">
        <f t="shared" ref="L60:L61" si="18">D60</f>
        <v>615.29999999999995</v>
      </c>
    </row>
    <row r="61" spans="1:12" x14ac:dyDescent="0.25">
      <c r="A61" t="s">
        <v>19</v>
      </c>
      <c r="B61" t="s">
        <v>1911</v>
      </c>
      <c r="C61" s="25">
        <v>3</v>
      </c>
      <c r="D61" s="25">
        <v>285</v>
      </c>
      <c r="F61" t="str">
        <f t="shared" si="7"/>
        <v>California</v>
      </c>
      <c r="G61" t="str">
        <f t="shared" si="8"/>
        <v>Yuba County</v>
      </c>
      <c r="H61">
        <f t="shared" si="9"/>
        <v>3</v>
      </c>
      <c r="J61" t="str">
        <f t="shared" si="16"/>
        <v>California</v>
      </c>
      <c r="K61" t="str">
        <f t="shared" si="17"/>
        <v>Yuba County</v>
      </c>
      <c r="L61">
        <f t="shared" si="18"/>
        <v>285</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E339-D303-4CF3-99D7-32C63921A50F}">
  <dimension ref="A1:G27"/>
  <sheetViews>
    <sheetView topLeftCell="A13" zoomScale="102" workbookViewId="0">
      <selection activeCell="E10" sqref="E10"/>
    </sheetView>
  </sheetViews>
  <sheetFormatPr defaultRowHeight="15" x14ac:dyDescent="0.25"/>
  <cols>
    <col min="1" max="1" width="14" bestFit="1" customWidth="1"/>
    <col min="2" max="2" width="16.85546875" bestFit="1" customWidth="1"/>
    <col min="3" max="4" width="4" bestFit="1" customWidth="1"/>
    <col min="5" max="5" width="5" bestFit="1" customWidth="1"/>
    <col min="6" max="6" width="4" bestFit="1" customWidth="1"/>
    <col min="7" max="7" width="11.28515625" bestFit="1" customWidth="1"/>
    <col min="8" max="32" width="9.42578125" bestFit="1" customWidth="1"/>
    <col min="33" max="89" width="9.85546875" bestFit="1" customWidth="1"/>
    <col min="90" max="90" width="11.28515625" bestFit="1" customWidth="1"/>
  </cols>
  <sheetData>
    <row r="1" spans="1:2" x14ac:dyDescent="0.25">
      <c r="A1" s="30" t="s">
        <v>2516</v>
      </c>
      <c r="B1" s="30"/>
    </row>
    <row r="3" spans="1:2" x14ac:dyDescent="0.25">
      <c r="A3" s="6" t="s">
        <v>2529</v>
      </c>
      <c r="B3" t="s">
        <v>2519</v>
      </c>
    </row>
    <row r="4" spans="1:2" x14ac:dyDescent="0.25">
      <c r="A4" s="7">
        <v>0</v>
      </c>
      <c r="B4" s="25">
        <v>175</v>
      </c>
    </row>
    <row r="5" spans="1:2" x14ac:dyDescent="0.25">
      <c r="A5" s="7">
        <v>1</v>
      </c>
      <c r="B5" s="25">
        <v>888</v>
      </c>
    </row>
    <row r="6" spans="1:2" x14ac:dyDescent="0.25">
      <c r="A6" s="7">
        <v>2</v>
      </c>
      <c r="B6" s="25">
        <v>538</v>
      </c>
    </row>
    <row r="7" spans="1:2" x14ac:dyDescent="0.25">
      <c r="A7" s="7">
        <v>3</v>
      </c>
      <c r="B7" s="25">
        <v>344</v>
      </c>
    </row>
    <row r="8" spans="1:2" x14ac:dyDescent="0.25">
      <c r="A8" s="7">
        <v>4</v>
      </c>
      <c r="B8" s="25">
        <v>200</v>
      </c>
    </row>
    <row r="9" spans="1:2" x14ac:dyDescent="0.25">
      <c r="A9" s="7">
        <v>5</v>
      </c>
      <c r="B9" s="25">
        <v>94</v>
      </c>
    </row>
    <row r="10" spans="1:2" x14ac:dyDescent="0.25">
      <c r="A10" s="7">
        <v>6</v>
      </c>
      <c r="B10" s="25">
        <v>51</v>
      </c>
    </row>
    <row r="11" spans="1:2" x14ac:dyDescent="0.25">
      <c r="A11" s="7">
        <v>7</v>
      </c>
      <c r="B11" s="25">
        <v>32</v>
      </c>
    </row>
    <row r="12" spans="1:2" x14ac:dyDescent="0.25">
      <c r="A12" s="7">
        <v>8</v>
      </c>
      <c r="B12" s="25">
        <v>23</v>
      </c>
    </row>
    <row r="13" spans="1:2" x14ac:dyDescent="0.25">
      <c r="A13" s="7">
        <v>9</v>
      </c>
      <c r="B13" s="25">
        <v>9</v>
      </c>
    </row>
    <row r="14" spans="1:2" x14ac:dyDescent="0.25">
      <c r="A14" s="7">
        <v>10</v>
      </c>
      <c r="B14" s="25">
        <v>8</v>
      </c>
    </row>
    <row r="15" spans="1:2" x14ac:dyDescent="0.25">
      <c r="A15" s="7">
        <v>11</v>
      </c>
      <c r="B15" s="25">
        <v>11</v>
      </c>
    </row>
    <row r="16" spans="1:2" x14ac:dyDescent="0.25">
      <c r="A16" s="7">
        <v>12</v>
      </c>
      <c r="B16" s="25">
        <v>4</v>
      </c>
    </row>
    <row r="17" spans="1:7" x14ac:dyDescent="0.25">
      <c r="A17" s="7">
        <v>13</v>
      </c>
      <c r="B17" s="25">
        <v>10</v>
      </c>
    </row>
    <row r="18" spans="1:7" x14ac:dyDescent="0.25">
      <c r="A18" s="7">
        <v>14</v>
      </c>
      <c r="B18" s="25">
        <v>13</v>
      </c>
    </row>
    <row r="19" spans="1:7" x14ac:dyDescent="0.25">
      <c r="A19" s="7" t="s">
        <v>2530</v>
      </c>
      <c r="B19" s="25">
        <v>2400</v>
      </c>
    </row>
    <row r="21" spans="1:7" x14ac:dyDescent="0.25">
      <c r="A21" s="30" t="s">
        <v>2517</v>
      </c>
      <c r="B21" s="30"/>
    </row>
    <row r="22" spans="1:7" x14ac:dyDescent="0.25">
      <c r="A22" s="6" t="s">
        <v>2519</v>
      </c>
      <c r="B22" s="6" t="s">
        <v>2531</v>
      </c>
    </row>
    <row r="23" spans="1:7" x14ac:dyDescent="0.25">
      <c r="A23" s="6" t="s">
        <v>2529</v>
      </c>
      <c r="B23">
        <v>1</v>
      </c>
      <c r="C23">
        <v>2</v>
      </c>
      <c r="D23">
        <v>3</v>
      </c>
      <c r="E23">
        <v>4</v>
      </c>
      <c r="F23">
        <v>5</v>
      </c>
      <c r="G23" t="s">
        <v>2530</v>
      </c>
    </row>
    <row r="24" spans="1:7" x14ac:dyDescent="0.25">
      <c r="A24" s="7" t="s">
        <v>2540</v>
      </c>
      <c r="B24" s="25">
        <v>7</v>
      </c>
      <c r="C24" s="25">
        <v>37</v>
      </c>
      <c r="D24" s="25">
        <v>150</v>
      </c>
      <c r="E24" s="25">
        <v>312</v>
      </c>
      <c r="F24" s="25">
        <v>224</v>
      </c>
      <c r="G24" s="25">
        <v>730</v>
      </c>
    </row>
    <row r="25" spans="1:7" x14ac:dyDescent="0.25">
      <c r="A25" s="7" t="s">
        <v>2541</v>
      </c>
      <c r="B25" s="25">
        <v>8</v>
      </c>
      <c r="C25" s="25">
        <v>51</v>
      </c>
      <c r="D25" s="25">
        <v>182</v>
      </c>
      <c r="E25" s="25">
        <v>373</v>
      </c>
      <c r="F25" s="25">
        <v>247</v>
      </c>
      <c r="G25" s="25">
        <v>861</v>
      </c>
    </row>
    <row r="26" spans="1:7" x14ac:dyDescent="0.25">
      <c r="A26" s="7" t="s">
        <v>2542</v>
      </c>
      <c r="B26" s="25">
        <v>6</v>
      </c>
      <c r="C26" s="25">
        <v>39</v>
      </c>
      <c r="D26" s="25">
        <v>163</v>
      </c>
      <c r="E26" s="25">
        <v>351</v>
      </c>
      <c r="F26" s="25">
        <v>250</v>
      </c>
      <c r="G26" s="25">
        <v>809</v>
      </c>
    </row>
    <row r="27" spans="1:7" x14ac:dyDescent="0.25">
      <c r="A27" s="7" t="s">
        <v>2530</v>
      </c>
      <c r="B27" s="25">
        <v>21</v>
      </c>
      <c r="C27" s="25">
        <v>127</v>
      </c>
      <c r="D27" s="25">
        <v>495</v>
      </c>
      <c r="E27" s="25">
        <v>1036</v>
      </c>
      <c r="F27" s="25">
        <v>721</v>
      </c>
      <c r="G27" s="25">
        <v>2400</v>
      </c>
    </row>
  </sheetData>
  <mergeCells count="2">
    <mergeCell ref="A21:B2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D234-E9CF-4E70-8F8E-C5C1B8417124}">
  <dimension ref="A1:M55"/>
  <sheetViews>
    <sheetView showGridLines="0" topLeftCell="A18" zoomScale="64" workbookViewId="0">
      <selection activeCell="O45" sqref="O45"/>
    </sheetView>
  </sheetViews>
  <sheetFormatPr defaultRowHeight="15" x14ac:dyDescent="0.25"/>
  <cols>
    <col min="1" max="1" width="22.85546875" bestFit="1" customWidth="1"/>
    <col min="2" max="2" width="22.42578125" bestFit="1" customWidth="1"/>
    <col min="3" max="4" width="7.28515625" bestFit="1" customWidth="1"/>
    <col min="5" max="5" width="6" bestFit="1" customWidth="1"/>
    <col min="6" max="6" width="15.5703125" bestFit="1" customWidth="1"/>
    <col min="9" max="9" width="11.28515625" bestFit="1" customWidth="1"/>
    <col min="10" max="10" width="16.5703125" bestFit="1" customWidth="1"/>
    <col min="11" max="11" width="7.5703125" bestFit="1" customWidth="1"/>
    <col min="12" max="12" width="6.28515625" bestFit="1" customWidth="1"/>
    <col min="13" max="13" width="6" bestFit="1" customWidth="1"/>
  </cols>
  <sheetData>
    <row r="1" spans="1:13" x14ac:dyDescent="0.25">
      <c r="A1" s="29" t="s">
        <v>2512</v>
      </c>
    </row>
    <row r="3" spans="1:13" x14ac:dyDescent="0.25">
      <c r="A3" s="6" t="s">
        <v>2521</v>
      </c>
      <c r="B3" s="6" t="s">
        <v>2531</v>
      </c>
    </row>
    <row r="4" spans="1:13" x14ac:dyDescent="0.25">
      <c r="A4" s="6" t="s">
        <v>2529</v>
      </c>
      <c r="C4" t="s">
        <v>27</v>
      </c>
      <c r="D4" t="s">
        <v>23</v>
      </c>
      <c r="E4" t="s">
        <v>89</v>
      </c>
      <c r="F4" t="s">
        <v>2530</v>
      </c>
      <c r="I4" s="12"/>
      <c r="J4" s="12" t="s">
        <v>2532</v>
      </c>
      <c r="K4" s="12" t="s">
        <v>2533</v>
      </c>
      <c r="L4" s="12" t="s">
        <v>2534</v>
      </c>
      <c r="M4" s="12" t="s">
        <v>2535</v>
      </c>
    </row>
    <row r="5" spans="1:13" ht="15.75" thickBot="1" x14ac:dyDescent="0.3">
      <c r="A5" s="7" t="s">
        <v>18</v>
      </c>
      <c r="B5" s="11">
        <v>3.0599220547662797E-2</v>
      </c>
      <c r="C5" s="11">
        <v>0.18961825201634841</v>
      </c>
      <c r="D5" s="11">
        <v>0.12262322351336576</v>
      </c>
      <c r="E5" s="11">
        <v>1.060537752469185E-2</v>
      </c>
      <c r="F5" s="11">
        <v>0.35344607360206887</v>
      </c>
      <c r="I5" s="12" t="str">
        <f>A5</f>
        <v>App</v>
      </c>
      <c r="J5" s="13">
        <f t="shared" ref="J5:L5" si="0">B5</f>
        <v>3.0599220547662797E-2</v>
      </c>
      <c r="K5" s="14">
        <f t="shared" si="0"/>
        <v>0.18961825201634841</v>
      </c>
      <c r="L5" s="14">
        <f t="shared" si="0"/>
        <v>0.12262322351336576</v>
      </c>
      <c r="M5" s="15">
        <f>E5</f>
        <v>1.060537752469185E-2</v>
      </c>
    </row>
    <row r="6" spans="1:13" ht="16.5" thickTop="1" thickBot="1" x14ac:dyDescent="0.3">
      <c r="A6" s="7" t="s">
        <v>51</v>
      </c>
      <c r="B6" s="11">
        <v>1.7794988689097006E-2</v>
      </c>
      <c r="C6" s="11">
        <v>5.0283982091147303E-2</v>
      </c>
      <c r="D6" s="11">
        <v>4.3060781812819873E-2</v>
      </c>
      <c r="E6" s="11">
        <v>1.5320025675641944E-3</v>
      </c>
      <c r="F6" s="11">
        <v>0.11267175516062837</v>
      </c>
      <c r="I6" s="12" t="str">
        <f t="shared" ref="I6:I8" si="1">A6</f>
        <v>Instagram</v>
      </c>
      <c r="J6" s="16">
        <f t="shared" ref="J6:J9" si="2">B6</f>
        <v>1.7794988689097006E-2</v>
      </c>
      <c r="K6" s="17">
        <f t="shared" ref="K6:K9" si="3">C6</f>
        <v>5.0283982091147303E-2</v>
      </c>
      <c r="L6" s="17">
        <f t="shared" ref="L6:M9" si="4">D6</f>
        <v>4.3060781812819873E-2</v>
      </c>
      <c r="M6" s="18">
        <f t="shared" si="4"/>
        <v>1.5320025675641944E-3</v>
      </c>
    </row>
    <row r="7" spans="1:13" ht="16.5" thickTop="1" thickBot="1" x14ac:dyDescent="0.3">
      <c r="A7" s="7" t="s">
        <v>70</v>
      </c>
      <c r="B7" s="11">
        <v>3.8927934093844286E-3</v>
      </c>
      <c r="C7" s="11">
        <v>6.3496059750411282E-2</v>
      </c>
      <c r="D7" s="11">
        <v>4.6071629863988765E-2</v>
      </c>
      <c r="E7" s="11">
        <v>2.306247051322625E-3</v>
      </c>
      <c r="F7" s="11">
        <v>0.11576673007510711</v>
      </c>
      <c r="I7" s="12" t="str">
        <f t="shared" si="1"/>
        <v>Partner App</v>
      </c>
      <c r="J7" s="16">
        <f t="shared" si="2"/>
        <v>3.8927934093844286E-3</v>
      </c>
      <c r="K7" s="17">
        <f t="shared" si="3"/>
        <v>6.3496059750411282E-2</v>
      </c>
      <c r="L7" s="17">
        <f t="shared" si="4"/>
        <v>4.6071629863988765E-2</v>
      </c>
      <c r="M7" s="18">
        <f t="shared" si="4"/>
        <v>2.306247051322625E-3</v>
      </c>
    </row>
    <row r="8" spans="1:13" ht="16.5" thickTop="1" thickBot="1" x14ac:dyDescent="0.3">
      <c r="A8" s="7" t="s">
        <v>40</v>
      </c>
      <c r="B8" s="11">
        <v>1.2933041488102518E-2</v>
      </c>
      <c r="C8" s="11">
        <v>9.6337892927149532E-2</v>
      </c>
      <c r="D8" s="11">
        <v>6.7920115842382611E-2</v>
      </c>
      <c r="E8" s="11">
        <v>5.4979832664581261E-3</v>
      </c>
      <c r="F8" s="11">
        <v>0.1826890335240928</v>
      </c>
      <c r="I8" s="12" t="str">
        <f t="shared" si="1"/>
        <v>Target.com</v>
      </c>
      <c r="J8" s="16">
        <f t="shared" si="2"/>
        <v>1.2933041488102518E-2</v>
      </c>
      <c r="K8" s="17">
        <f t="shared" si="3"/>
        <v>9.6337892927149532E-2</v>
      </c>
      <c r="L8" s="17">
        <f t="shared" si="4"/>
        <v>6.7920115842382611E-2</v>
      </c>
      <c r="M8" s="18">
        <f t="shared" si="4"/>
        <v>5.4979832664581261E-3</v>
      </c>
    </row>
    <row r="9" spans="1:13" ht="15.75" thickTop="1" x14ac:dyDescent="0.25">
      <c r="A9" s="7" t="s">
        <v>35</v>
      </c>
      <c r="B9" s="11">
        <v>1.2408404181197551E-2</v>
      </c>
      <c r="C9" s="11">
        <v>0.12522098709469262</v>
      </c>
      <c r="D9" s="11">
        <v>9.1492740283116228E-2</v>
      </c>
      <c r="E9" s="11">
        <v>6.3042760790965081E-3</v>
      </c>
      <c r="F9" s="11">
        <v>0.23542640763810294</v>
      </c>
      <c r="I9" s="12" t="str">
        <f>A9</f>
        <v>Website</v>
      </c>
      <c r="J9" s="19">
        <f t="shared" si="2"/>
        <v>1.2408404181197551E-2</v>
      </c>
      <c r="K9" s="20">
        <f t="shared" si="3"/>
        <v>0.12522098709469262</v>
      </c>
      <c r="L9" s="20">
        <f t="shared" si="4"/>
        <v>9.1492740283116228E-2</v>
      </c>
      <c r="M9" s="21">
        <f>E9</f>
        <v>6.3042760790965081E-3</v>
      </c>
    </row>
    <row r="10" spans="1:13" x14ac:dyDescent="0.25">
      <c r="A10" s="7" t="s">
        <v>2530</v>
      </c>
      <c r="B10" s="11">
        <v>7.7628448315444312E-2</v>
      </c>
      <c r="C10" s="11">
        <v>0.52495717387974916</v>
      </c>
      <c r="D10" s="11">
        <v>0.3711684913156732</v>
      </c>
      <c r="E10" s="11">
        <v>2.6245886489133303E-2</v>
      </c>
      <c r="F10" s="11">
        <v>1</v>
      </c>
    </row>
    <row r="16" spans="1:13" x14ac:dyDescent="0.25">
      <c r="A16" s="24"/>
      <c r="B16" s="24"/>
    </row>
    <row r="18" spans="1:2" x14ac:dyDescent="0.25">
      <c r="A18" s="6" t="s">
        <v>2529</v>
      </c>
      <c r="B18" t="s">
        <v>2519</v>
      </c>
    </row>
    <row r="19" spans="1:2" x14ac:dyDescent="0.25">
      <c r="A19" s="7">
        <v>1</v>
      </c>
      <c r="B19" s="25">
        <v>397</v>
      </c>
    </row>
    <row r="20" spans="1:2" x14ac:dyDescent="0.25">
      <c r="A20" s="7">
        <v>2</v>
      </c>
      <c r="B20" s="25">
        <v>540</v>
      </c>
    </row>
    <row r="21" spans="1:2" x14ac:dyDescent="0.25">
      <c r="A21" s="7">
        <v>3</v>
      </c>
      <c r="B21" s="25">
        <v>375</v>
      </c>
    </row>
    <row r="22" spans="1:2" x14ac:dyDescent="0.25">
      <c r="A22" s="7">
        <v>4</v>
      </c>
      <c r="B22" s="25">
        <v>246</v>
      </c>
    </row>
    <row r="23" spans="1:2" x14ac:dyDescent="0.25">
      <c r="A23" s="7" t="s">
        <v>2536</v>
      </c>
      <c r="B23" s="25">
        <v>556</v>
      </c>
    </row>
    <row r="24" spans="1:2" x14ac:dyDescent="0.25">
      <c r="A24" s="7" t="s">
        <v>2537</v>
      </c>
      <c r="B24" s="25">
        <v>286</v>
      </c>
    </row>
    <row r="25" spans="1:2" x14ac:dyDescent="0.25">
      <c r="A25" s="7" t="s">
        <v>2530</v>
      </c>
      <c r="B25" s="25">
        <v>2400</v>
      </c>
    </row>
    <row r="31" spans="1:2" x14ac:dyDescent="0.25">
      <c r="A31" s="28" t="s">
        <v>2513</v>
      </c>
      <c r="B31" s="28"/>
    </row>
    <row r="33" spans="1:10" x14ac:dyDescent="0.25">
      <c r="A33" s="6" t="s">
        <v>2520</v>
      </c>
      <c r="B33" s="6" t="s">
        <v>2531</v>
      </c>
    </row>
    <row r="34" spans="1:10" x14ac:dyDescent="0.25">
      <c r="A34" s="6" t="s">
        <v>2529</v>
      </c>
      <c r="C34" t="s">
        <v>27</v>
      </c>
      <c r="D34" t="s">
        <v>23</v>
      </c>
      <c r="E34" t="s">
        <v>89</v>
      </c>
      <c r="F34" t="s">
        <v>2530</v>
      </c>
      <c r="I34" s="6" t="s">
        <v>2529</v>
      </c>
      <c r="J34" t="s">
        <v>2522</v>
      </c>
    </row>
    <row r="35" spans="1:10" x14ac:dyDescent="0.25">
      <c r="A35" s="7" t="s">
        <v>44</v>
      </c>
      <c r="B35" s="25">
        <v>98</v>
      </c>
      <c r="C35" s="25">
        <v>744</v>
      </c>
      <c r="D35" s="25">
        <v>713</v>
      </c>
      <c r="E35" s="25">
        <v>90</v>
      </c>
      <c r="F35" s="25">
        <v>1645</v>
      </c>
      <c r="I35" s="7" t="s">
        <v>2533</v>
      </c>
      <c r="J35" s="11">
        <v>0.51788079367671935</v>
      </c>
    </row>
    <row r="36" spans="1:10" x14ac:dyDescent="0.25">
      <c r="A36" s="7" t="s">
        <v>39</v>
      </c>
      <c r="B36" s="25">
        <v>214</v>
      </c>
      <c r="C36" s="25">
        <v>716</v>
      </c>
      <c r="D36" s="25">
        <v>598</v>
      </c>
      <c r="E36" s="25">
        <v>18</v>
      </c>
      <c r="F36" s="25">
        <v>1546</v>
      </c>
      <c r="I36" s="7" t="s">
        <v>2534</v>
      </c>
      <c r="J36" s="11">
        <v>0.39169616545433245</v>
      </c>
    </row>
    <row r="37" spans="1:10" x14ac:dyDescent="0.25">
      <c r="A37" s="7" t="s">
        <v>26</v>
      </c>
      <c r="B37" s="25">
        <v>137</v>
      </c>
      <c r="C37" s="25">
        <v>627</v>
      </c>
      <c r="D37" s="25">
        <v>393</v>
      </c>
      <c r="E37" s="25">
        <v>29</v>
      </c>
      <c r="F37" s="25">
        <v>1186</v>
      </c>
      <c r="I37" s="7" t="s">
        <v>2535</v>
      </c>
      <c r="J37" s="11">
        <v>3.1789797818805608E-2</v>
      </c>
    </row>
    <row r="38" spans="1:10" x14ac:dyDescent="0.25">
      <c r="A38" s="7" t="s">
        <v>22</v>
      </c>
      <c r="B38" s="25">
        <v>16</v>
      </c>
      <c r="C38" s="25">
        <v>568</v>
      </c>
      <c r="D38" s="25">
        <v>306</v>
      </c>
      <c r="E38" s="25">
        <v>22</v>
      </c>
      <c r="F38" s="25">
        <v>912</v>
      </c>
      <c r="I38" s="7" t="s">
        <v>2543</v>
      </c>
      <c r="J38" s="11">
        <v>5.863324305014244E-2</v>
      </c>
    </row>
    <row r="39" spans="1:10" x14ac:dyDescent="0.25">
      <c r="A39" s="7" t="s">
        <v>54</v>
      </c>
      <c r="B39" s="25">
        <v>22</v>
      </c>
      <c r="C39" s="25">
        <v>482</v>
      </c>
      <c r="D39" s="25">
        <v>295</v>
      </c>
      <c r="E39" s="25">
        <v>8</v>
      </c>
      <c r="F39" s="25">
        <v>807</v>
      </c>
      <c r="I39" s="7" t="s">
        <v>2530</v>
      </c>
      <c r="J39" s="11">
        <v>1</v>
      </c>
    </row>
    <row r="40" spans="1:10" x14ac:dyDescent="0.25">
      <c r="A40" s="7" t="s">
        <v>16</v>
      </c>
      <c r="B40" s="25">
        <v>24</v>
      </c>
      <c r="C40" s="25">
        <v>428</v>
      </c>
      <c r="D40" s="25">
        <v>293</v>
      </c>
      <c r="E40" s="25"/>
      <c r="F40" s="25">
        <v>745</v>
      </c>
    </row>
    <row r="41" spans="1:10" x14ac:dyDescent="0.25">
      <c r="A41" s="7" t="s">
        <v>46</v>
      </c>
      <c r="B41" s="25">
        <v>39</v>
      </c>
      <c r="C41" s="25">
        <v>445</v>
      </c>
      <c r="D41" s="25">
        <v>202</v>
      </c>
      <c r="E41" s="25">
        <v>14</v>
      </c>
      <c r="F41" s="25">
        <v>700</v>
      </c>
    </row>
    <row r="42" spans="1:10" x14ac:dyDescent="0.25">
      <c r="A42" s="7" t="s">
        <v>32</v>
      </c>
      <c r="B42" s="25">
        <v>15</v>
      </c>
      <c r="C42" s="25">
        <v>431</v>
      </c>
      <c r="D42" s="25">
        <v>187</v>
      </c>
      <c r="E42" s="25">
        <v>14</v>
      </c>
      <c r="F42" s="25">
        <v>647</v>
      </c>
    </row>
    <row r="43" spans="1:10" x14ac:dyDescent="0.25">
      <c r="A43" s="7" t="s">
        <v>42</v>
      </c>
      <c r="B43" s="25">
        <v>9</v>
      </c>
      <c r="C43" s="25">
        <v>264</v>
      </c>
      <c r="D43" s="25">
        <v>318</v>
      </c>
      <c r="E43" s="25">
        <v>15</v>
      </c>
      <c r="F43" s="25">
        <v>606</v>
      </c>
    </row>
    <row r="44" spans="1:10" x14ac:dyDescent="0.25">
      <c r="A44" s="7" t="s">
        <v>37</v>
      </c>
      <c r="B44" s="25">
        <v>23</v>
      </c>
      <c r="C44" s="25">
        <v>296</v>
      </c>
      <c r="D44" s="25">
        <v>275</v>
      </c>
      <c r="E44" s="25">
        <v>9</v>
      </c>
      <c r="F44" s="25">
        <v>603</v>
      </c>
    </row>
    <row r="45" spans="1:10" x14ac:dyDescent="0.25">
      <c r="A45" s="7" t="s">
        <v>123</v>
      </c>
      <c r="B45" s="25">
        <v>8</v>
      </c>
      <c r="C45" s="25">
        <v>153</v>
      </c>
      <c r="D45" s="25">
        <v>246</v>
      </c>
      <c r="E45" s="25">
        <v>30</v>
      </c>
      <c r="F45" s="25">
        <v>437</v>
      </c>
    </row>
    <row r="46" spans="1:10" x14ac:dyDescent="0.25">
      <c r="A46" s="7" t="s">
        <v>146</v>
      </c>
      <c r="B46" s="25">
        <v>31</v>
      </c>
      <c r="C46" s="25">
        <v>189</v>
      </c>
      <c r="D46" s="25">
        <v>168</v>
      </c>
      <c r="E46" s="25">
        <v>10</v>
      </c>
      <c r="F46" s="25">
        <v>398</v>
      </c>
    </row>
    <row r="47" spans="1:10" x14ac:dyDescent="0.25">
      <c r="A47" s="7" t="s">
        <v>69</v>
      </c>
      <c r="B47" s="25">
        <v>24</v>
      </c>
      <c r="C47" s="25">
        <v>234</v>
      </c>
      <c r="D47" s="25">
        <v>93</v>
      </c>
      <c r="E47" s="25">
        <v>19</v>
      </c>
      <c r="F47" s="25">
        <v>370</v>
      </c>
    </row>
    <row r="48" spans="1:10" x14ac:dyDescent="0.25">
      <c r="A48" s="7" t="s">
        <v>30</v>
      </c>
      <c r="B48" s="25">
        <v>28</v>
      </c>
      <c r="C48" s="25">
        <v>146</v>
      </c>
      <c r="D48" s="25">
        <v>94</v>
      </c>
      <c r="E48" s="25">
        <v>4</v>
      </c>
      <c r="F48" s="25">
        <v>272</v>
      </c>
    </row>
    <row r="49" spans="1:6" x14ac:dyDescent="0.25">
      <c r="A49" s="7" t="s">
        <v>135</v>
      </c>
      <c r="B49" s="25">
        <v>12</v>
      </c>
      <c r="C49" s="25">
        <v>127</v>
      </c>
      <c r="D49" s="25">
        <v>118</v>
      </c>
      <c r="E49" s="25">
        <v>13</v>
      </c>
      <c r="F49" s="25">
        <v>270</v>
      </c>
    </row>
    <row r="50" spans="1:6" x14ac:dyDescent="0.25">
      <c r="A50" s="7" t="s">
        <v>67</v>
      </c>
      <c r="B50" s="25"/>
      <c r="C50" s="25">
        <v>179</v>
      </c>
      <c r="D50" s="25">
        <v>76</v>
      </c>
      <c r="E50" s="25">
        <v>3</v>
      </c>
      <c r="F50" s="25">
        <v>258</v>
      </c>
    </row>
    <row r="51" spans="1:6" x14ac:dyDescent="0.25">
      <c r="A51" s="7" t="s">
        <v>128</v>
      </c>
      <c r="B51" s="25">
        <v>24</v>
      </c>
      <c r="C51" s="25">
        <v>99</v>
      </c>
      <c r="D51" s="25">
        <v>69</v>
      </c>
      <c r="E51" s="25">
        <v>3</v>
      </c>
      <c r="F51" s="25">
        <v>195</v>
      </c>
    </row>
    <row r="52" spans="1:6" x14ac:dyDescent="0.25">
      <c r="A52" s="7" t="s">
        <v>76</v>
      </c>
      <c r="B52" s="25">
        <v>6</v>
      </c>
      <c r="C52" s="25">
        <v>75</v>
      </c>
      <c r="D52" s="25">
        <v>103</v>
      </c>
      <c r="E52" s="25">
        <v>4</v>
      </c>
      <c r="F52" s="25">
        <v>188</v>
      </c>
    </row>
    <row r="53" spans="1:6" x14ac:dyDescent="0.25">
      <c r="A53" s="7" t="s">
        <v>81</v>
      </c>
      <c r="B53" s="25">
        <v>6</v>
      </c>
      <c r="C53" s="25">
        <v>43</v>
      </c>
      <c r="D53" s="25">
        <v>90</v>
      </c>
      <c r="E53" s="25">
        <v>8</v>
      </c>
      <c r="F53" s="25">
        <v>147</v>
      </c>
    </row>
    <row r="54" spans="1:6" x14ac:dyDescent="0.25">
      <c r="A54" s="7" t="s">
        <v>171</v>
      </c>
      <c r="B54" s="25"/>
      <c r="C54" s="25">
        <v>26</v>
      </c>
      <c r="D54" s="25">
        <v>35</v>
      </c>
      <c r="E54" s="25">
        <v>4</v>
      </c>
      <c r="F54" s="25">
        <v>65</v>
      </c>
    </row>
    <row r="55" spans="1:6" x14ac:dyDescent="0.25">
      <c r="A55" s="7" t="s">
        <v>2530</v>
      </c>
      <c r="B55" s="25">
        <v>736</v>
      </c>
      <c r="C55" s="25">
        <v>6272</v>
      </c>
      <c r="D55" s="25">
        <v>4672</v>
      </c>
      <c r="E55" s="25">
        <v>317</v>
      </c>
      <c r="F55" s="25">
        <v>11997</v>
      </c>
    </row>
  </sheetData>
  <mergeCells count="1">
    <mergeCell ref="A16:B16"/>
  </mergeCells>
  <conditionalFormatting sqref="J5:M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AEAC-F11E-42FC-A334-4D87D5B1A02C}">
  <dimension ref="A1"/>
  <sheetViews>
    <sheetView topLeftCell="A15" zoomScale="82" workbookViewId="0">
      <selection activeCell="G36" sqref="G36"/>
    </sheetView>
  </sheetViews>
  <sheetFormatPr defaultRowHeight="15" x14ac:dyDescent="0.25"/>
  <cols>
    <col min="1" max="1" width="3.42578125" customWidth="1"/>
    <col min="2" max="2" width="14.85546875" customWidth="1"/>
    <col min="3" max="3" width="1.8554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Questions &amp; KPIs</vt:lpstr>
      <vt:lpstr>Sheet1</vt:lpstr>
      <vt:lpstr>sheet2</vt:lpstr>
      <vt:lpstr>sheet3</vt:lpstr>
      <vt:lpstr>Sheet4</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Ramesh patel</cp:lastModifiedBy>
  <dcterms:created xsi:type="dcterms:W3CDTF">2025-06-13T02:42:26Z</dcterms:created>
  <dcterms:modified xsi:type="dcterms:W3CDTF">2026-10-24T05:15:48Z</dcterms:modified>
</cp:coreProperties>
</file>